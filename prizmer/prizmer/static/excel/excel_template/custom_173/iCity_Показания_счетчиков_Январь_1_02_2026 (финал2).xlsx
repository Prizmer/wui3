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os02f03\data\!Project iCity\Utilities\Январь 2026\"/>
    </mc:Choice>
  </mc:AlternateContent>
  <xr:revisionPtr revIDLastSave="0" documentId="13_ncr:1_{14BB09DE-4991-4CC2-9EB4-413180F3E2A9}" xr6:coauthVersionLast="47" xr6:coauthVersionMax="47" xr10:uidLastSave="{00000000-0000-0000-0000-000000000000}"/>
  <bookViews>
    <workbookView xWindow="-9690" yWindow="-21600" windowWidth="30410" windowHeight="20970" activeTab="3" xr2:uid="{86F39888-C9BA-4EDF-8B98-6EA4CF1829AE}"/>
  </bookViews>
  <sheets>
    <sheet name="Приборы учета" sheetId="2" r:id="rId1"/>
    <sheet name="Электроэнергия" sheetId="1" r:id="rId2"/>
    <sheet name="ХВС" sheetId="3" r:id="rId3"/>
    <sheet name="ГВС" sheetId="4" r:id="rId4"/>
  </sheets>
  <definedNames>
    <definedName name="_xlnm._FilterDatabase" localSheetId="0" hidden="1">'Приборы учета'!$A$1:$E$452</definedName>
    <definedName name="_xlnm._FilterDatabase" localSheetId="1" hidden="1">Электроэнергия!$A$1:$E$101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" i="4" l="1"/>
  <c r="D179" i="3"/>
  <c r="E115" i="1"/>
  <c r="E119" i="1"/>
  <c r="E117" i="1"/>
  <c r="E92" i="1"/>
  <c r="D110" i="1"/>
  <c r="D111" i="1"/>
  <c r="D108" i="1"/>
  <c r="D109" i="1"/>
  <c r="D106" i="1"/>
  <c r="D107" i="1"/>
  <c r="D104" i="1"/>
  <c r="D105" i="1"/>
  <c r="D102" i="1"/>
  <c r="E102" i="1" s="1"/>
  <c r="D103" i="1"/>
  <c r="E103" i="1" s="1"/>
  <c r="D100" i="1"/>
  <c r="E100" i="1" s="1"/>
  <c r="D101" i="1"/>
  <c r="E101" i="1" s="1"/>
  <c r="D98" i="1"/>
  <c r="E98" i="1" s="1"/>
  <c r="D99" i="1"/>
  <c r="E99" i="1" s="1"/>
  <c r="D96" i="1"/>
  <c r="E96" i="1" s="1"/>
  <c r="D97" i="1"/>
  <c r="E97" i="1" s="1"/>
  <c r="D94" i="1"/>
  <c r="D95" i="1"/>
  <c r="D93" i="1"/>
  <c r="D91" i="1"/>
  <c r="E91" i="1" s="1"/>
  <c r="D92" i="1"/>
  <c r="D90" i="1"/>
  <c r="E90" i="1" s="1"/>
  <c r="D89" i="1"/>
  <c r="D88" i="1"/>
  <c r="D87" i="1"/>
  <c r="D85" i="1"/>
  <c r="D86" i="1"/>
  <c r="D83" i="1"/>
  <c r="D84" i="1"/>
  <c r="D81" i="1"/>
  <c r="D82" i="1"/>
  <c r="E82" i="1" s="1"/>
  <c r="D79" i="1"/>
  <c r="D80" i="1"/>
  <c r="D77" i="1"/>
  <c r="D78" i="1"/>
  <c r="D75" i="1"/>
  <c r="E75" i="1" s="1"/>
  <c r="D76" i="1"/>
  <c r="E76" i="1" s="1"/>
  <c r="D73" i="1"/>
  <c r="E73" i="1" s="1"/>
  <c r="D74" i="1"/>
  <c r="D71" i="1"/>
  <c r="D72" i="1"/>
  <c r="D69" i="1"/>
  <c r="E69" i="1" s="1"/>
  <c r="D70" i="1"/>
  <c r="D67" i="1"/>
  <c r="D68" i="1"/>
  <c r="D65" i="1"/>
  <c r="D66" i="1"/>
  <c r="D63" i="1"/>
  <c r="D64" i="1"/>
  <c r="D62" i="1"/>
  <c r="D61" i="1"/>
  <c r="D60" i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D50" i="1"/>
  <c r="D49" i="1"/>
  <c r="D48" i="1"/>
  <c r="E48" i="1" s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E35" i="1" s="1"/>
  <c r="D34" i="1"/>
  <c r="E34" i="1" s="1"/>
  <c r="D33" i="1"/>
  <c r="E33" i="1" s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E19" i="1" s="1"/>
  <c r="D18" i="1"/>
  <c r="D17" i="1"/>
  <c r="D16" i="1"/>
  <c r="D15" i="1"/>
  <c r="E15" i="1" s="1"/>
  <c r="D14" i="1"/>
  <c r="E14" i="1" s="1"/>
  <c r="D12" i="1"/>
  <c r="E12" i="1" s="1"/>
  <c r="D13" i="1"/>
  <c r="E13" i="1" s="1"/>
  <c r="D11" i="1"/>
  <c r="E11" i="1" s="1"/>
  <c r="D9" i="1"/>
  <c r="E9" i="1" s="1"/>
  <c r="D10" i="1"/>
  <c r="E10" i="1" s="1"/>
  <c r="D8" i="1"/>
  <c r="E8" i="1" s="1"/>
  <c r="D6" i="1"/>
  <c r="D7" i="1"/>
  <c r="D4" i="1"/>
  <c r="D5" i="1"/>
  <c r="E5" i="1" s="1"/>
  <c r="D3" i="1"/>
  <c r="D2" i="1"/>
  <c r="B110" i="1"/>
  <c r="C110" i="1"/>
  <c r="B111" i="1"/>
  <c r="C111" i="1"/>
  <c r="B108" i="1"/>
  <c r="C108" i="1"/>
  <c r="B109" i="1"/>
  <c r="C109" i="1"/>
  <c r="B106" i="1"/>
  <c r="C106" i="1"/>
  <c r="B107" i="1"/>
  <c r="C107" i="1"/>
  <c r="B104" i="1"/>
  <c r="C104" i="1"/>
  <c r="B105" i="1"/>
  <c r="C105" i="1"/>
  <c r="B102" i="1"/>
  <c r="C102" i="1"/>
  <c r="B103" i="1"/>
  <c r="C103" i="1"/>
  <c r="B100" i="1"/>
  <c r="C100" i="1"/>
  <c r="B101" i="1"/>
  <c r="C101" i="1"/>
  <c r="B98" i="1"/>
  <c r="C98" i="1"/>
  <c r="B99" i="1"/>
  <c r="C99" i="1"/>
  <c r="B96" i="1"/>
  <c r="C96" i="1"/>
  <c r="B97" i="1"/>
  <c r="C97" i="1"/>
  <c r="B94" i="1"/>
  <c r="C94" i="1"/>
  <c r="B95" i="1"/>
  <c r="C95" i="1"/>
  <c r="B93" i="1"/>
  <c r="C93" i="1"/>
  <c r="B91" i="1"/>
  <c r="C91" i="1"/>
  <c r="B92" i="1"/>
  <c r="C92" i="1"/>
  <c r="B90" i="1"/>
  <c r="C90" i="1"/>
  <c r="B89" i="1"/>
  <c r="C89" i="1"/>
  <c r="E89" i="1" s="1"/>
  <c r="B88" i="1"/>
  <c r="C88" i="1"/>
  <c r="E88" i="1" s="1"/>
  <c r="B87" i="1"/>
  <c r="C87" i="1"/>
  <c r="B85" i="1"/>
  <c r="C85" i="1"/>
  <c r="B86" i="1"/>
  <c r="C86" i="1"/>
  <c r="B83" i="1"/>
  <c r="C83" i="1"/>
  <c r="B84" i="1"/>
  <c r="C84" i="1"/>
  <c r="B81" i="1"/>
  <c r="C81" i="1"/>
  <c r="B82" i="1"/>
  <c r="C82" i="1"/>
  <c r="B79" i="1"/>
  <c r="C79" i="1"/>
  <c r="B80" i="1"/>
  <c r="C80" i="1"/>
  <c r="B77" i="1"/>
  <c r="C77" i="1"/>
  <c r="B78" i="1"/>
  <c r="C78" i="1"/>
  <c r="B75" i="1"/>
  <c r="C75" i="1"/>
  <c r="B76" i="1"/>
  <c r="C76" i="1"/>
  <c r="B73" i="1"/>
  <c r="C73" i="1"/>
  <c r="B74" i="1"/>
  <c r="C74" i="1"/>
  <c r="B71" i="1"/>
  <c r="C71" i="1"/>
  <c r="B72" i="1"/>
  <c r="C72" i="1"/>
  <c r="B69" i="1"/>
  <c r="C69" i="1"/>
  <c r="B70" i="1"/>
  <c r="C70" i="1"/>
  <c r="B67" i="1"/>
  <c r="C67" i="1"/>
  <c r="B68" i="1"/>
  <c r="C68" i="1"/>
  <c r="B65" i="1"/>
  <c r="C65" i="1"/>
  <c r="B66" i="1"/>
  <c r="C66" i="1"/>
  <c r="B63" i="1"/>
  <c r="C63" i="1"/>
  <c r="B64" i="1"/>
  <c r="C64" i="1"/>
  <c r="B62" i="1"/>
  <c r="C62" i="1"/>
  <c r="B61" i="1"/>
  <c r="C61" i="1"/>
  <c r="B60" i="1"/>
  <c r="C60" i="1"/>
  <c r="B59" i="1"/>
  <c r="C59" i="1"/>
  <c r="B58" i="1"/>
  <c r="C58" i="1"/>
  <c r="B57" i="1"/>
  <c r="C57" i="1"/>
  <c r="B56" i="1"/>
  <c r="C56" i="1"/>
  <c r="B55" i="1"/>
  <c r="C55" i="1"/>
  <c r="B54" i="1"/>
  <c r="C54" i="1"/>
  <c r="B53" i="1"/>
  <c r="C53" i="1"/>
  <c r="B52" i="1"/>
  <c r="C52" i="1"/>
  <c r="B51" i="1"/>
  <c r="C51" i="1"/>
  <c r="B50" i="1"/>
  <c r="C50" i="1"/>
  <c r="B49" i="1"/>
  <c r="C49" i="1"/>
  <c r="B48" i="1"/>
  <c r="C48" i="1"/>
  <c r="B47" i="1"/>
  <c r="C47" i="1"/>
  <c r="B46" i="1"/>
  <c r="C46" i="1"/>
  <c r="B45" i="1"/>
  <c r="C45" i="1"/>
  <c r="B44" i="1"/>
  <c r="C44" i="1"/>
  <c r="B43" i="1"/>
  <c r="C43" i="1"/>
  <c r="B42" i="1"/>
  <c r="C42" i="1"/>
  <c r="B41" i="1"/>
  <c r="C41" i="1"/>
  <c r="B40" i="1"/>
  <c r="C40" i="1"/>
  <c r="B39" i="1"/>
  <c r="C39" i="1"/>
  <c r="B38" i="1"/>
  <c r="C38" i="1"/>
  <c r="B37" i="1"/>
  <c r="C37" i="1"/>
  <c r="B36" i="1"/>
  <c r="C36" i="1"/>
  <c r="B35" i="1"/>
  <c r="C35" i="1"/>
  <c r="B34" i="1"/>
  <c r="C34" i="1"/>
  <c r="B33" i="1"/>
  <c r="C33" i="1"/>
  <c r="B32" i="1"/>
  <c r="C32" i="1"/>
  <c r="B31" i="1"/>
  <c r="C31" i="1"/>
  <c r="B30" i="1"/>
  <c r="C30" i="1"/>
  <c r="B29" i="1"/>
  <c r="C29" i="1"/>
  <c r="E29" i="1" s="1"/>
  <c r="B28" i="1"/>
  <c r="C28" i="1"/>
  <c r="E28" i="1" s="1"/>
  <c r="B27" i="1"/>
  <c r="C27" i="1"/>
  <c r="B26" i="1"/>
  <c r="C26" i="1"/>
  <c r="B25" i="1"/>
  <c r="C25" i="1"/>
  <c r="B24" i="1"/>
  <c r="C24" i="1"/>
  <c r="B23" i="1"/>
  <c r="C23" i="1"/>
  <c r="B22" i="1"/>
  <c r="C22" i="1"/>
  <c r="B21" i="1"/>
  <c r="C21" i="1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B12" i="1"/>
  <c r="C12" i="1"/>
  <c r="B13" i="1"/>
  <c r="C13" i="1"/>
  <c r="B11" i="1"/>
  <c r="C11" i="1"/>
  <c r="B9" i="1"/>
  <c r="C9" i="1"/>
  <c r="B10" i="1"/>
  <c r="C10" i="1"/>
  <c r="B8" i="1"/>
  <c r="C8" i="1"/>
  <c r="B6" i="1"/>
  <c r="C6" i="1"/>
  <c r="B7" i="1"/>
  <c r="C7" i="1"/>
  <c r="B4" i="1"/>
  <c r="C4" i="1"/>
  <c r="B5" i="1"/>
  <c r="C5" i="1"/>
  <c r="B3" i="1"/>
  <c r="C3" i="1"/>
  <c r="B2" i="1"/>
  <c r="C2" i="1"/>
  <c r="A110" i="1"/>
  <c r="A111" i="1"/>
  <c r="A108" i="1"/>
  <c r="A109" i="1"/>
  <c r="A106" i="1"/>
  <c r="A107" i="1"/>
  <c r="A104" i="1"/>
  <c r="A105" i="1"/>
  <c r="A102" i="1"/>
  <c r="A103" i="1"/>
  <c r="A100" i="1"/>
  <c r="A101" i="1"/>
  <c r="A98" i="1"/>
  <c r="A99" i="1"/>
  <c r="A96" i="1"/>
  <c r="A97" i="1"/>
  <c r="A94" i="1"/>
  <c r="A95" i="1"/>
  <c r="A93" i="1"/>
  <c r="A91" i="1"/>
  <c r="A92" i="1"/>
  <c r="A90" i="1"/>
  <c r="A89" i="1"/>
  <c r="A88" i="1"/>
  <c r="A87" i="1"/>
  <c r="A85" i="1"/>
  <c r="A86" i="1"/>
  <c r="A83" i="1"/>
  <c r="A84" i="1"/>
  <c r="A81" i="1"/>
  <c r="A82" i="1"/>
  <c r="A79" i="1"/>
  <c r="A80" i="1"/>
  <c r="A77" i="1"/>
  <c r="A78" i="1"/>
  <c r="A75" i="1"/>
  <c r="A76" i="1"/>
  <c r="A73" i="1"/>
  <c r="A74" i="1"/>
  <c r="A71" i="1"/>
  <c r="A72" i="1"/>
  <c r="A69" i="1"/>
  <c r="A70" i="1"/>
  <c r="A67" i="1"/>
  <c r="A68" i="1"/>
  <c r="A65" i="1"/>
  <c r="A66" i="1"/>
  <c r="A63" i="1"/>
  <c r="A64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2" i="1"/>
  <c r="A13" i="1"/>
  <c r="A11" i="1"/>
  <c r="A9" i="1"/>
  <c r="A10" i="1"/>
  <c r="A8" i="1"/>
  <c r="A6" i="1"/>
  <c r="A7" i="1"/>
  <c r="A4" i="1"/>
  <c r="A5" i="1"/>
  <c r="A3" i="1"/>
  <c r="A2" i="1"/>
  <c r="H4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2" i="2"/>
  <c r="B167" i="4"/>
  <c r="C167" i="4"/>
  <c r="D167" i="4" s="1"/>
  <c r="B168" i="4"/>
  <c r="C168" i="4"/>
  <c r="B169" i="4"/>
  <c r="C169" i="4"/>
  <c r="B170" i="4"/>
  <c r="C170" i="4"/>
  <c r="B171" i="4"/>
  <c r="C171" i="4"/>
  <c r="B162" i="4"/>
  <c r="C162" i="4"/>
  <c r="D162" i="4" s="1"/>
  <c r="B163" i="4"/>
  <c r="C163" i="4"/>
  <c r="B164" i="4"/>
  <c r="C164" i="4"/>
  <c r="D164" i="4" s="1"/>
  <c r="B165" i="4"/>
  <c r="C165" i="4"/>
  <c r="B166" i="4"/>
  <c r="C166" i="4"/>
  <c r="B157" i="4"/>
  <c r="C157" i="4"/>
  <c r="D157" i="4" s="1"/>
  <c r="B158" i="4"/>
  <c r="C158" i="4"/>
  <c r="B159" i="4"/>
  <c r="C159" i="4"/>
  <c r="B160" i="4"/>
  <c r="C160" i="4"/>
  <c r="B161" i="4"/>
  <c r="C161" i="4"/>
  <c r="D161" i="4" s="1"/>
  <c r="B152" i="4"/>
  <c r="C152" i="4"/>
  <c r="B153" i="4"/>
  <c r="C153" i="4"/>
  <c r="B154" i="4"/>
  <c r="C154" i="4"/>
  <c r="B155" i="4"/>
  <c r="C155" i="4"/>
  <c r="B156" i="4"/>
  <c r="C156" i="4"/>
  <c r="B147" i="4"/>
  <c r="C147" i="4"/>
  <c r="B148" i="4"/>
  <c r="C148" i="4"/>
  <c r="B149" i="4"/>
  <c r="C149" i="4"/>
  <c r="B150" i="4"/>
  <c r="C150" i="4"/>
  <c r="B151" i="4"/>
  <c r="C151" i="4"/>
  <c r="B142" i="4"/>
  <c r="C142" i="4"/>
  <c r="B143" i="4"/>
  <c r="C143" i="4"/>
  <c r="B144" i="4"/>
  <c r="C144" i="4"/>
  <c r="B145" i="4"/>
  <c r="C145" i="4"/>
  <c r="B146" i="4"/>
  <c r="C146" i="4"/>
  <c r="D146" i="4" s="1"/>
  <c r="B137" i="4"/>
  <c r="C137" i="4"/>
  <c r="B138" i="4"/>
  <c r="C138" i="4"/>
  <c r="B139" i="4"/>
  <c r="C139" i="4"/>
  <c r="B140" i="4"/>
  <c r="C140" i="4"/>
  <c r="B141" i="4"/>
  <c r="C141" i="4"/>
  <c r="B132" i="4"/>
  <c r="C132" i="4"/>
  <c r="B133" i="4"/>
  <c r="C133" i="4"/>
  <c r="B134" i="4"/>
  <c r="C134" i="4"/>
  <c r="B135" i="4"/>
  <c r="C135" i="4"/>
  <c r="B136" i="4"/>
  <c r="C136" i="4"/>
  <c r="B127" i="4"/>
  <c r="C127" i="4"/>
  <c r="B128" i="4"/>
  <c r="C128" i="4"/>
  <c r="B129" i="4"/>
  <c r="C129" i="4"/>
  <c r="B130" i="4"/>
  <c r="C130" i="4"/>
  <c r="B131" i="4"/>
  <c r="C131" i="4"/>
  <c r="B126" i="4"/>
  <c r="C126" i="4"/>
  <c r="B122" i="4"/>
  <c r="C122" i="4"/>
  <c r="B123" i="4"/>
  <c r="C123" i="4"/>
  <c r="B124" i="4"/>
  <c r="C124" i="4"/>
  <c r="B125" i="4"/>
  <c r="C125" i="4"/>
  <c r="B121" i="4"/>
  <c r="C121" i="4"/>
  <c r="B120" i="4"/>
  <c r="C120" i="4"/>
  <c r="B119" i="4"/>
  <c r="C119" i="4"/>
  <c r="B118" i="4"/>
  <c r="C118" i="4"/>
  <c r="B113" i="4"/>
  <c r="C113" i="4"/>
  <c r="B114" i="4"/>
  <c r="C114" i="4"/>
  <c r="B115" i="4"/>
  <c r="C115" i="4"/>
  <c r="B116" i="4"/>
  <c r="C116" i="4"/>
  <c r="B117" i="4"/>
  <c r="C117" i="4"/>
  <c r="B108" i="4"/>
  <c r="C108" i="4"/>
  <c r="B109" i="4"/>
  <c r="C109" i="4"/>
  <c r="B110" i="4"/>
  <c r="C110" i="4"/>
  <c r="B111" i="4"/>
  <c r="C111" i="4"/>
  <c r="B112" i="4"/>
  <c r="C112" i="4"/>
  <c r="B103" i="4"/>
  <c r="C103" i="4"/>
  <c r="B104" i="4"/>
  <c r="C104" i="4"/>
  <c r="B105" i="4"/>
  <c r="C105" i="4"/>
  <c r="B106" i="4"/>
  <c r="C106" i="4"/>
  <c r="B107" i="4"/>
  <c r="C107" i="4"/>
  <c r="B98" i="4"/>
  <c r="C98" i="4"/>
  <c r="B99" i="4"/>
  <c r="C99" i="4"/>
  <c r="B100" i="4"/>
  <c r="C100" i="4"/>
  <c r="B101" i="4"/>
  <c r="C101" i="4"/>
  <c r="B102" i="4"/>
  <c r="C102" i="4"/>
  <c r="B93" i="4"/>
  <c r="C93" i="4"/>
  <c r="B94" i="4"/>
  <c r="C94" i="4"/>
  <c r="B95" i="4"/>
  <c r="C95" i="4"/>
  <c r="B96" i="4"/>
  <c r="C96" i="4"/>
  <c r="B97" i="4"/>
  <c r="C97" i="4"/>
  <c r="B88" i="4"/>
  <c r="C88" i="4"/>
  <c r="B89" i="4"/>
  <c r="C89" i="4"/>
  <c r="B90" i="4"/>
  <c r="C90" i="4"/>
  <c r="B91" i="4"/>
  <c r="C91" i="4"/>
  <c r="B92" i="4"/>
  <c r="C92" i="4"/>
  <c r="B83" i="4"/>
  <c r="C83" i="4"/>
  <c r="B84" i="4"/>
  <c r="C84" i="4"/>
  <c r="B85" i="4"/>
  <c r="C85" i="4"/>
  <c r="B86" i="4"/>
  <c r="C86" i="4"/>
  <c r="B87" i="4"/>
  <c r="C87" i="4"/>
  <c r="B78" i="4"/>
  <c r="C78" i="4"/>
  <c r="B79" i="4"/>
  <c r="C79" i="4"/>
  <c r="B80" i="4"/>
  <c r="C80" i="4"/>
  <c r="B81" i="4"/>
  <c r="C81" i="4"/>
  <c r="B82" i="4"/>
  <c r="C82" i="4"/>
  <c r="B73" i="4"/>
  <c r="C73" i="4"/>
  <c r="B74" i="4"/>
  <c r="C74" i="4"/>
  <c r="B75" i="4"/>
  <c r="C75" i="4"/>
  <c r="B76" i="4"/>
  <c r="C76" i="4"/>
  <c r="B77" i="4"/>
  <c r="C77" i="4"/>
  <c r="B68" i="4"/>
  <c r="C68" i="4"/>
  <c r="B69" i="4"/>
  <c r="C69" i="4"/>
  <c r="B70" i="4"/>
  <c r="C70" i="4"/>
  <c r="B71" i="4"/>
  <c r="C71" i="4"/>
  <c r="B72" i="4"/>
  <c r="C72" i="4"/>
  <c r="B63" i="4"/>
  <c r="C63" i="4"/>
  <c r="B64" i="4"/>
  <c r="C64" i="4"/>
  <c r="B65" i="4"/>
  <c r="C65" i="4"/>
  <c r="B66" i="4"/>
  <c r="C66" i="4"/>
  <c r="B67" i="4"/>
  <c r="C67" i="4"/>
  <c r="B58" i="4"/>
  <c r="C58" i="4"/>
  <c r="B59" i="4"/>
  <c r="C59" i="4"/>
  <c r="B60" i="4"/>
  <c r="C60" i="4"/>
  <c r="B61" i="4"/>
  <c r="C61" i="4"/>
  <c r="B62" i="4"/>
  <c r="C62" i="4"/>
  <c r="B57" i="4"/>
  <c r="C57" i="4"/>
  <c r="B56" i="4"/>
  <c r="C56" i="4"/>
  <c r="B55" i="4"/>
  <c r="C55" i="4"/>
  <c r="B54" i="4"/>
  <c r="C54" i="4"/>
  <c r="B53" i="4"/>
  <c r="C53" i="4"/>
  <c r="B52" i="4"/>
  <c r="C52" i="4"/>
  <c r="B51" i="4"/>
  <c r="C51" i="4"/>
  <c r="B50" i="4"/>
  <c r="C50" i="4"/>
  <c r="B49" i="4"/>
  <c r="C49" i="4"/>
  <c r="B48" i="4"/>
  <c r="C48" i="4"/>
  <c r="B47" i="4"/>
  <c r="C47" i="4"/>
  <c r="B46" i="4"/>
  <c r="C46" i="4"/>
  <c r="B45" i="4"/>
  <c r="C45" i="4"/>
  <c r="B44" i="4"/>
  <c r="C44" i="4"/>
  <c r="B43" i="4"/>
  <c r="C43" i="4"/>
  <c r="B42" i="4"/>
  <c r="C42" i="4"/>
  <c r="B41" i="4"/>
  <c r="C41" i="4"/>
  <c r="B40" i="4"/>
  <c r="C40" i="4"/>
  <c r="B39" i="4"/>
  <c r="C39" i="4"/>
  <c r="B38" i="4"/>
  <c r="C38" i="4"/>
  <c r="B37" i="4"/>
  <c r="C37" i="4"/>
  <c r="B36" i="4"/>
  <c r="C36" i="4"/>
  <c r="B35" i="4"/>
  <c r="C35" i="4"/>
  <c r="B34" i="4"/>
  <c r="C34" i="4"/>
  <c r="B33" i="4"/>
  <c r="C33" i="4"/>
  <c r="B32" i="4"/>
  <c r="C32" i="4"/>
  <c r="B31" i="4"/>
  <c r="C31" i="4"/>
  <c r="B30" i="4"/>
  <c r="C30" i="4"/>
  <c r="B29" i="4"/>
  <c r="C29" i="4"/>
  <c r="B28" i="4"/>
  <c r="C28" i="4"/>
  <c r="B27" i="4"/>
  <c r="C27" i="4"/>
  <c r="B26" i="4"/>
  <c r="C26" i="4"/>
  <c r="B25" i="4"/>
  <c r="C25" i="4"/>
  <c r="B24" i="4"/>
  <c r="C24" i="4"/>
  <c r="B23" i="4"/>
  <c r="C23" i="4"/>
  <c r="B22" i="4"/>
  <c r="C22" i="4"/>
  <c r="B21" i="4"/>
  <c r="C21" i="4"/>
  <c r="B20" i="4"/>
  <c r="C20" i="4"/>
  <c r="B19" i="4"/>
  <c r="C19" i="4"/>
  <c r="B18" i="4"/>
  <c r="C18" i="4"/>
  <c r="B17" i="4"/>
  <c r="C17" i="4"/>
  <c r="B16" i="4"/>
  <c r="C16" i="4"/>
  <c r="B15" i="4"/>
  <c r="C15" i="4"/>
  <c r="B14" i="4"/>
  <c r="C14" i="4"/>
  <c r="B13" i="4"/>
  <c r="C13" i="4"/>
  <c r="B12" i="4"/>
  <c r="C12" i="4"/>
  <c r="B11" i="4"/>
  <c r="C11" i="4"/>
  <c r="B10" i="4"/>
  <c r="C10" i="4"/>
  <c r="B9" i="4"/>
  <c r="C9" i="4"/>
  <c r="B8" i="4"/>
  <c r="C8" i="4"/>
  <c r="B7" i="4"/>
  <c r="C7" i="4"/>
  <c r="B6" i="4"/>
  <c r="C6" i="4"/>
  <c r="B5" i="4"/>
  <c r="C5" i="4"/>
  <c r="B4" i="4"/>
  <c r="C4" i="4"/>
  <c r="B3" i="4"/>
  <c r="C3" i="4"/>
  <c r="B2" i="4"/>
  <c r="C2" i="4"/>
  <c r="A167" i="4"/>
  <c r="A168" i="4"/>
  <c r="A169" i="4"/>
  <c r="A170" i="4"/>
  <c r="A171" i="4"/>
  <c r="A162" i="4"/>
  <c r="A163" i="4"/>
  <c r="A164" i="4"/>
  <c r="A165" i="4"/>
  <c r="A166" i="4"/>
  <c r="A157" i="4"/>
  <c r="A158" i="4"/>
  <c r="A159" i="4"/>
  <c r="A160" i="4"/>
  <c r="A161" i="4"/>
  <c r="A152" i="4"/>
  <c r="A153" i="4"/>
  <c r="A154" i="4"/>
  <c r="A155" i="4"/>
  <c r="A156" i="4"/>
  <c r="A147" i="4"/>
  <c r="A148" i="4"/>
  <c r="A149" i="4"/>
  <c r="A150" i="4"/>
  <c r="A151" i="4"/>
  <c r="A142" i="4"/>
  <c r="A143" i="4"/>
  <c r="A144" i="4"/>
  <c r="A145" i="4"/>
  <c r="A146" i="4"/>
  <c r="A137" i="4"/>
  <c r="A138" i="4"/>
  <c r="A139" i="4"/>
  <c r="A140" i="4"/>
  <c r="A141" i="4"/>
  <c r="A132" i="4"/>
  <c r="A133" i="4"/>
  <c r="A134" i="4"/>
  <c r="A135" i="4"/>
  <c r="A136" i="4"/>
  <c r="A127" i="4"/>
  <c r="A128" i="4"/>
  <c r="A129" i="4"/>
  <c r="A130" i="4"/>
  <c r="A131" i="4"/>
  <c r="A126" i="4"/>
  <c r="A122" i="4"/>
  <c r="A123" i="4"/>
  <c r="A124" i="4"/>
  <c r="A125" i="4"/>
  <c r="A121" i="4"/>
  <c r="A120" i="4"/>
  <c r="A119" i="4"/>
  <c r="A118" i="4"/>
  <c r="A113" i="4"/>
  <c r="A114" i="4"/>
  <c r="A115" i="4"/>
  <c r="A116" i="4"/>
  <c r="A117" i="4"/>
  <c r="A108" i="4"/>
  <c r="A109" i="4"/>
  <c r="A110" i="4"/>
  <c r="A111" i="4"/>
  <c r="A112" i="4"/>
  <c r="A103" i="4"/>
  <c r="A104" i="4"/>
  <c r="A105" i="4"/>
  <c r="A106" i="4"/>
  <c r="A107" i="4"/>
  <c r="A98" i="4"/>
  <c r="A99" i="4"/>
  <c r="A100" i="4"/>
  <c r="A101" i="4"/>
  <c r="A102" i="4"/>
  <c r="A93" i="4"/>
  <c r="A94" i="4"/>
  <c r="A95" i="4"/>
  <c r="A96" i="4"/>
  <c r="A97" i="4"/>
  <c r="A88" i="4"/>
  <c r="A89" i="4"/>
  <c r="A90" i="4"/>
  <c r="A91" i="4"/>
  <c r="A92" i="4"/>
  <c r="A83" i="4"/>
  <c r="A84" i="4"/>
  <c r="A85" i="4"/>
  <c r="A86" i="4"/>
  <c r="A87" i="4"/>
  <c r="A78" i="4"/>
  <c r="A79" i="4"/>
  <c r="A80" i="4"/>
  <c r="A81" i="4"/>
  <c r="A82" i="4"/>
  <c r="A73" i="4"/>
  <c r="A74" i="4"/>
  <c r="A75" i="4"/>
  <c r="A76" i="4"/>
  <c r="A77" i="4"/>
  <c r="A68" i="4"/>
  <c r="A69" i="4"/>
  <c r="A70" i="4"/>
  <c r="A71" i="4"/>
  <c r="A72" i="4"/>
  <c r="A63" i="4"/>
  <c r="A64" i="4"/>
  <c r="A65" i="4"/>
  <c r="A66" i="4"/>
  <c r="A67" i="4"/>
  <c r="A58" i="4"/>
  <c r="A59" i="4"/>
  <c r="A60" i="4"/>
  <c r="A61" i="4"/>
  <c r="A62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168" i="3"/>
  <c r="C169" i="3"/>
  <c r="C170" i="3"/>
  <c r="C171" i="3"/>
  <c r="C172" i="3"/>
  <c r="C163" i="3"/>
  <c r="C164" i="3"/>
  <c r="C165" i="3"/>
  <c r="C166" i="3"/>
  <c r="C167" i="3"/>
  <c r="C158" i="3"/>
  <c r="C159" i="3"/>
  <c r="C160" i="3"/>
  <c r="C161" i="3"/>
  <c r="C162" i="3"/>
  <c r="C153" i="3"/>
  <c r="C154" i="3"/>
  <c r="C155" i="3"/>
  <c r="C156" i="3"/>
  <c r="C157" i="3"/>
  <c r="C148" i="3"/>
  <c r="C149" i="3"/>
  <c r="C150" i="3"/>
  <c r="C151" i="3"/>
  <c r="C152" i="3"/>
  <c r="C143" i="3"/>
  <c r="C144" i="3"/>
  <c r="C145" i="3"/>
  <c r="C146" i="3"/>
  <c r="C147" i="3"/>
  <c r="C138" i="3"/>
  <c r="C139" i="3"/>
  <c r="C140" i="3"/>
  <c r="C141" i="3"/>
  <c r="C142" i="3"/>
  <c r="C133" i="3"/>
  <c r="C134" i="3"/>
  <c r="C135" i="3"/>
  <c r="C136" i="3"/>
  <c r="C137" i="3"/>
  <c r="C128" i="3"/>
  <c r="C129" i="3"/>
  <c r="C130" i="3"/>
  <c r="C131" i="3"/>
  <c r="C132" i="3"/>
  <c r="C127" i="3"/>
  <c r="C123" i="3"/>
  <c r="C124" i="3"/>
  <c r="C125" i="3"/>
  <c r="C126" i="3"/>
  <c r="C122" i="3"/>
  <c r="C121" i="3"/>
  <c r="C120" i="3"/>
  <c r="C119" i="3"/>
  <c r="C114" i="3"/>
  <c r="C115" i="3"/>
  <c r="C116" i="3"/>
  <c r="C117" i="3"/>
  <c r="C118" i="3"/>
  <c r="C109" i="3"/>
  <c r="C110" i="3"/>
  <c r="C111" i="3"/>
  <c r="C112" i="3"/>
  <c r="C113" i="3"/>
  <c r="C104" i="3"/>
  <c r="C105" i="3"/>
  <c r="C106" i="3"/>
  <c r="C107" i="3"/>
  <c r="C108" i="3"/>
  <c r="C99" i="3"/>
  <c r="C100" i="3"/>
  <c r="C101" i="3"/>
  <c r="C102" i="3"/>
  <c r="C103" i="3"/>
  <c r="C94" i="3"/>
  <c r="C95" i="3"/>
  <c r="C96" i="3"/>
  <c r="C97" i="3"/>
  <c r="C98" i="3"/>
  <c r="C89" i="3"/>
  <c r="C90" i="3"/>
  <c r="C91" i="3"/>
  <c r="C92" i="3"/>
  <c r="C93" i="3"/>
  <c r="C84" i="3"/>
  <c r="C85" i="3"/>
  <c r="C86" i="3"/>
  <c r="C87" i="3"/>
  <c r="C88" i="3"/>
  <c r="C79" i="3"/>
  <c r="C80" i="3"/>
  <c r="C81" i="3"/>
  <c r="C82" i="3"/>
  <c r="C83" i="3"/>
  <c r="C74" i="3"/>
  <c r="C75" i="3"/>
  <c r="C76" i="3"/>
  <c r="C77" i="3"/>
  <c r="C78" i="3"/>
  <c r="C69" i="3"/>
  <c r="C70" i="3"/>
  <c r="C71" i="3"/>
  <c r="C72" i="3"/>
  <c r="C73" i="3"/>
  <c r="C64" i="3"/>
  <c r="C65" i="3"/>
  <c r="C66" i="3"/>
  <c r="C67" i="3"/>
  <c r="C68" i="3"/>
  <c r="C59" i="3"/>
  <c r="C60" i="3"/>
  <c r="C61" i="3"/>
  <c r="C62" i="3"/>
  <c r="C63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168" i="3"/>
  <c r="B169" i="3"/>
  <c r="B170" i="3"/>
  <c r="B171" i="3"/>
  <c r="B172" i="3"/>
  <c r="B163" i="3"/>
  <c r="B164" i="3"/>
  <c r="B165" i="3"/>
  <c r="B166" i="3"/>
  <c r="B167" i="3"/>
  <c r="B158" i="3"/>
  <c r="B159" i="3"/>
  <c r="B160" i="3"/>
  <c r="B161" i="3"/>
  <c r="B162" i="3"/>
  <c r="B153" i="3"/>
  <c r="B154" i="3"/>
  <c r="B155" i="3"/>
  <c r="B156" i="3"/>
  <c r="B157" i="3"/>
  <c r="B148" i="3"/>
  <c r="B149" i="3"/>
  <c r="B150" i="3"/>
  <c r="B151" i="3"/>
  <c r="B152" i="3"/>
  <c r="B143" i="3"/>
  <c r="B144" i="3"/>
  <c r="B145" i="3"/>
  <c r="B146" i="3"/>
  <c r="B147" i="3"/>
  <c r="B138" i="3"/>
  <c r="B139" i="3"/>
  <c r="B140" i="3"/>
  <c r="B141" i="3"/>
  <c r="B142" i="3"/>
  <c r="B133" i="3"/>
  <c r="B134" i="3"/>
  <c r="B135" i="3"/>
  <c r="B136" i="3"/>
  <c r="B137" i="3"/>
  <c r="B128" i="3"/>
  <c r="B129" i="3"/>
  <c r="B130" i="3"/>
  <c r="B131" i="3"/>
  <c r="B132" i="3"/>
  <c r="B127" i="3"/>
  <c r="B123" i="3"/>
  <c r="B124" i="3"/>
  <c r="B125" i="3"/>
  <c r="B126" i="3"/>
  <c r="B122" i="3"/>
  <c r="B121" i="3"/>
  <c r="B120" i="3"/>
  <c r="B119" i="3"/>
  <c r="B114" i="3"/>
  <c r="B115" i="3"/>
  <c r="B116" i="3"/>
  <c r="B117" i="3"/>
  <c r="B118" i="3"/>
  <c r="B109" i="3"/>
  <c r="B110" i="3"/>
  <c r="B111" i="3"/>
  <c r="B112" i="3"/>
  <c r="B113" i="3"/>
  <c r="B104" i="3"/>
  <c r="B105" i="3"/>
  <c r="B106" i="3"/>
  <c r="B107" i="3"/>
  <c r="B108" i="3"/>
  <c r="B99" i="3"/>
  <c r="B100" i="3"/>
  <c r="B101" i="3"/>
  <c r="B102" i="3"/>
  <c r="B103" i="3"/>
  <c r="B94" i="3"/>
  <c r="B95" i="3"/>
  <c r="B96" i="3"/>
  <c r="B97" i="3"/>
  <c r="B98" i="3"/>
  <c r="B89" i="3"/>
  <c r="B90" i="3"/>
  <c r="B91" i="3"/>
  <c r="B92" i="3"/>
  <c r="B93" i="3"/>
  <c r="B84" i="3"/>
  <c r="B85" i="3"/>
  <c r="B86" i="3"/>
  <c r="B87" i="3"/>
  <c r="B88" i="3"/>
  <c r="B79" i="3"/>
  <c r="B80" i="3"/>
  <c r="B81" i="3"/>
  <c r="B82" i="3"/>
  <c r="B83" i="3"/>
  <c r="B74" i="3"/>
  <c r="B75" i="3"/>
  <c r="B76" i="3"/>
  <c r="B77" i="3"/>
  <c r="B78" i="3"/>
  <c r="B69" i="3"/>
  <c r="B70" i="3"/>
  <c r="B71" i="3"/>
  <c r="B72" i="3"/>
  <c r="B73" i="3"/>
  <c r="B64" i="3"/>
  <c r="B65" i="3"/>
  <c r="B66" i="3"/>
  <c r="B67" i="3"/>
  <c r="B68" i="3"/>
  <c r="B59" i="3"/>
  <c r="B60" i="3"/>
  <c r="B61" i="3"/>
  <c r="B62" i="3"/>
  <c r="B63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168" i="3"/>
  <c r="A169" i="3"/>
  <c r="A170" i="3"/>
  <c r="A171" i="3"/>
  <c r="A172" i="3"/>
  <c r="A163" i="3"/>
  <c r="A164" i="3"/>
  <c r="A165" i="3"/>
  <c r="A166" i="3"/>
  <c r="A167" i="3"/>
  <c r="A158" i="3"/>
  <c r="A159" i="3"/>
  <c r="A160" i="3"/>
  <c r="A161" i="3"/>
  <c r="A162" i="3"/>
  <c r="A153" i="3"/>
  <c r="A154" i="3"/>
  <c r="A155" i="3"/>
  <c r="A156" i="3"/>
  <c r="A157" i="3"/>
  <c r="A148" i="3"/>
  <c r="A149" i="3"/>
  <c r="A150" i="3"/>
  <c r="A151" i="3"/>
  <c r="A152" i="3"/>
  <c r="A143" i="3"/>
  <c r="A144" i="3"/>
  <c r="A145" i="3"/>
  <c r="A146" i="3"/>
  <c r="A147" i="3"/>
  <c r="A138" i="3"/>
  <c r="A139" i="3"/>
  <c r="A140" i="3"/>
  <c r="A141" i="3"/>
  <c r="A142" i="3"/>
  <c r="A133" i="3"/>
  <c r="A134" i="3"/>
  <c r="A135" i="3"/>
  <c r="A136" i="3"/>
  <c r="A137" i="3"/>
  <c r="A128" i="3"/>
  <c r="A129" i="3"/>
  <c r="A130" i="3"/>
  <c r="A131" i="3"/>
  <c r="A132" i="3"/>
  <c r="A127" i="3"/>
  <c r="A123" i="3"/>
  <c r="A124" i="3"/>
  <c r="A125" i="3"/>
  <c r="A126" i="3"/>
  <c r="A122" i="3"/>
  <c r="A121" i="3"/>
  <c r="A120" i="3"/>
  <c r="A119" i="3"/>
  <c r="A114" i="3"/>
  <c r="A115" i="3"/>
  <c r="A116" i="3"/>
  <c r="A117" i="3"/>
  <c r="A118" i="3"/>
  <c r="A109" i="3"/>
  <c r="A110" i="3"/>
  <c r="A111" i="3"/>
  <c r="A112" i="3"/>
  <c r="A113" i="3"/>
  <c r="A104" i="3"/>
  <c r="A105" i="3"/>
  <c r="A106" i="3"/>
  <c r="A107" i="3"/>
  <c r="A108" i="3"/>
  <c r="A99" i="3"/>
  <c r="A100" i="3"/>
  <c r="A101" i="3"/>
  <c r="A102" i="3"/>
  <c r="A103" i="3"/>
  <c r="A94" i="3"/>
  <c r="A95" i="3"/>
  <c r="A96" i="3"/>
  <c r="A97" i="3"/>
  <c r="A98" i="3"/>
  <c r="A89" i="3"/>
  <c r="A90" i="3"/>
  <c r="A91" i="3"/>
  <c r="A92" i="3"/>
  <c r="A93" i="3"/>
  <c r="A84" i="3"/>
  <c r="A85" i="3"/>
  <c r="A86" i="3"/>
  <c r="A87" i="3"/>
  <c r="A88" i="3"/>
  <c r="A79" i="3"/>
  <c r="A80" i="3"/>
  <c r="A81" i="3"/>
  <c r="A82" i="3"/>
  <c r="A83" i="3"/>
  <c r="A74" i="3"/>
  <c r="A75" i="3"/>
  <c r="A76" i="3"/>
  <c r="A77" i="3"/>
  <c r="A78" i="3"/>
  <c r="A69" i="3"/>
  <c r="A70" i="3"/>
  <c r="A71" i="3"/>
  <c r="A72" i="3"/>
  <c r="A73" i="3"/>
  <c r="A64" i="3"/>
  <c r="A65" i="3"/>
  <c r="A66" i="3"/>
  <c r="A67" i="3"/>
  <c r="A68" i="3"/>
  <c r="A59" i="3"/>
  <c r="A60" i="3"/>
  <c r="A61" i="3"/>
  <c r="A62" i="3"/>
  <c r="A63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E30" i="1" l="1"/>
  <c r="E31" i="1"/>
  <c r="E16" i="1"/>
  <c r="E38" i="1"/>
  <c r="E81" i="1"/>
  <c r="E32" i="1"/>
  <c r="E18" i="1"/>
  <c r="E62" i="1"/>
  <c r="E83" i="1"/>
  <c r="E24" i="1"/>
  <c r="E46" i="1"/>
  <c r="D143" i="4"/>
  <c r="E3" i="1"/>
  <c r="E25" i="1"/>
  <c r="E47" i="1"/>
  <c r="E70" i="1"/>
  <c r="E61" i="1"/>
  <c r="E36" i="1"/>
  <c r="E4" i="1"/>
  <c r="E72" i="1"/>
  <c r="E17" i="1"/>
  <c r="E39" i="1"/>
  <c r="E84" i="1"/>
  <c r="E41" i="1"/>
  <c r="E22" i="1"/>
  <c r="E44" i="1"/>
  <c r="E111" i="1"/>
  <c r="D144" i="4"/>
  <c r="E68" i="1"/>
  <c r="E110" i="1"/>
  <c r="E2" i="1"/>
  <c r="E67" i="1"/>
  <c r="E71" i="1"/>
  <c r="E95" i="1"/>
  <c r="D169" i="4"/>
  <c r="E37" i="1"/>
  <c r="E6" i="1"/>
  <c r="E51" i="1"/>
  <c r="E74" i="1"/>
  <c r="E94" i="1"/>
  <c r="E105" i="1"/>
  <c r="E104" i="1"/>
  <c r="E107" i="1"/>
  <c r="E106" i="1"/>
  <c r="E109" i="1"/>
  <c r="E108" i="1"/>
  <c r="D160" i="4"/>
  <c r="E93" i="1"/>
  <c r="E87" i="1"/>
  <c r="E60" i="1"/>
  <c r="E49" i="1"/>
  <c r="E45" i="1"/>
  <c r="E43" i="1"/>
  <c r="E42" i="1"/>
  <c r="E40" i="1"/>
  <c r="E27" i="1"/>
  <c r="E26" i="1"/>
  <c r="E21" i="1"/>
  <c r="E7" i="1"/>
  <c r="E20" i="1"/>
  <c r="E23" i="1"/>
  <c r="E65" i="1"/>
  <c r="E66" i="1"/>
  <c r="E64" i="1"/>
  <c r="E63" i="1"/>
  <c r="E85" i="1"/>
  <c r="E86" i="1"/>
  <c r="E77" i="1"/>
  <c r="E78" i="1"/>
  <c r="E79" i="1"/>
  <c r="E80" i="1"/>
  <c r="E50" i="1"/>
  <c r="D163" i="4"/>
  <c r="D149" i="4"/>
  <c r="D159" i="4"/>
  <c r="D153" i="4"/>
  <c r="D158" i="4"/>
  <c r="D151" i="4"/>
  <c r="D151" i="3"/>
  <c r="D161" i="3"/>
  <c r="D168" i="4"/>
  <c r="D155" i="4"/>
  <c r="D149" i="3"/>
  <c r="D172" i="3"/>
  <c r="D144" i="3"/>
  <c r="D154" i="3"/>
  <c r="D155" i="3"/>
  <c r="D169" i="3"/>
  <c r="D156" i="4"/>
  <c r="D160" i="3"/>
  <c r="D157" i="3"/>
  <c r="D156" i="3"/>
  <c r="D142" i="4"/>
  <c r="D170" i="4"/>
  <c r="D150" i="4"/>
  <c r="D148" i="4"/>
  <c r="D147" i="4"/>
  <c r="D166" i="4"/>
  <c r="D165" i="4"/>
  <c r="D145" i="3"/>
  <c r="D163" i="3"/>
  <c r="D145" i="4"/>
  <c r="D159" i="3"/>
  <c r="D158" i="3"/>
  <c r="D146" i="3"/>
  <c r="D164" i="3"/>
  <c r="D171" i="3"/>
  <c r="D143" i="3"/>
  <c r="D152" i="3"/>
  <c r="D170" i="3"/>
  <c r="D150" i="3"/>
  <c r="D168" i="3"/>
  <c r="D154" i="4"/>
  <c r="D171" i="4"/>
  <c r="D153" i="3"/>
  <c r="D152" i="4"/>
  <c r="D162" i="3"/>
  <c r="D166" i="3"/>
  <c r="D147" i="3"/>
  <c r="D165" i="3"/>
  <c r="D148" i="3"/>
  <c r="D167" i="3"/>
  <c r="D34" i="4"/>
  <c r="D45" i="4"/>
  <c r="D113" i="4"/>
  <c r="D122" i="4"/>
  <c r="D3" i="4"/>
  <c r="D13" i="4"/>
  <c r="D24" i="4"/>
  <c r="D35" i="4"/>
  <c r="D59" i="4"/>
  <c r="D68" i="4"/>
  <c r="D77" i="4"/>
  <c r="D93" i="4"/>
  <c r="D130" i="4"/>
  <c r="D46" i="4"/>
  <c r="D15" i="4"/>
  <c r="D26" i="4"/>
  <c r="D37" i="4"/>
  <c r="D48" i="4"/>
  <c r="D57" i="4"/>
  <c r="D66" i="4"/>
  <c r="D138" i="4"/>
  <c r="D6" i="4"/>
  <c r="D17" i="4"/>
  <c r="D28" i="4"/>
  <c r="D39" i="4"/>
  <c r="D50" i="4"/>
  <c r="D65" i="4"/>
  <c r="D74" i="4"/>
  <c r="D83" i="4"/>
  <c r="D94" i="4"/>
  <c r="D109" i="4"/>
  <c r="D118" i="4"/>
  <c r="D127" i="4"/>
  <c r="D5" i="4"/>
  <c r="D16" i="4"/>
  <c r="D27" i="4"/>
  <c r="D38" i="4"/>
  <c r="D49" i="4"/>
  <c r="D56" i="4"/>
  <c r="D75" i="4"/>
  <c r="D84" i="4"/>
  <c r="D90" i="4"/>
  <c r="D100" i="4"/>
  <c r="D119" i="4"/>
  <c r="D128" i="4"/>
  <c r="D137" i="4"/>
  <c r="D110" i="4"/>
  <c r="D60" i="4"/>
  <c r="D103" i="4"/>
  <c r="D85" i="4"/>
  <c r="D91" i="4"/>
  <c r="D101" i="4"/>
  <c r="D10" i="4"/>
  <c r="D21" i="4"/>
  <c r="D32" i="4"/>
  <c r="D43" i="4"/>
  <c r="D52" i="4"/>
  <c r="D61" i="4"/>
  <c r="D87" i="4"/>
  <c r="D96" i="4"/>
  <c r="D105" i="4"/>
  <c r="D124" i="4"/>
  <c r="D133" i="4"/>
  <c r="D23" i="4"/>
  <c r="D129" i="4"/>
  <c r="D80" i="4"/>
  <c r="D4" i="4"/>
  <c r="D14" i="4"/>
  <c r="D25" i="4"/>
  <c r="D36" i="4"/>
  <c r="D47" i="4"/>
  <c r="D58" i="4"/>
  <c r="D67" i="4"/>
  <c r="D76" i="4"/>
  <c r="D92" i="4"/>
  <c r="D102" i="4"/>
  <c r="D111" i="4"/>
  <c r="D139" i="4"/>
  <c r="D78" i="4"/>
  <c r="D89" i="4"/>
  <c r="D104" i="4"/>
  <c r="D131" i="4"/>
  <c r="D136" i="4"/>
  <c r="D9" i="4"/>
  <c r="D20" i="4"/>
  <c r="D31" i="4"/>
  <c r="D42" i="4"/>
  <c r="D53" i="4"/>
  <c r="D62" i="4"/>
  <c r="D71" i="4"/>
  <c r="D86" i="4"/>
  <c r="D97" i="4"/>
  <c r="D106" i="4"/>
  <c r="D115" i="4"/>
  <c r="D134" i="4"/>
  <c r="D141" i="4"/>
  <c r="D7" i="4"/>
  <c r="D18" i="4"/>
  <c r="D29" i="4"/>
  <c r="D40" i="4"/>
  <c r="D55" i="4"/>
  <c r="D64" i="4"/>
  <c r="D73" i="4"/>
  <c r="D82" i="4"/>
  <c r="D99" i="4"/>
  <c r="D108" i="4"/>
  <c r="D117" i="4"/>
  <c r="D126" i="4"/>
  <c r="D135" i="4"/>
  <c r="D8" i="4"/>
  <c r="D19" i="4"/>
  <c r="D30" i="4"/>
  <c r="D41" i="4"/>
  <c r="D54" i="4"/>
  <c r="D63" i="4"/>
  <c r="D72" i="4"/>
  <c r="D81" i="4"/>
  <c r="D98" i="4"/>
  <c r="D107" i="4"/>
  <c r="D116" i="4"/>
  <c r="D125" i="4"/>
  <c r="D12" i="4"/>
  <c r="D120" i="4"/>
  <c r="D69" i="4"/>
  <c r="D11" i="4"/>
  <c r="D22" i="4"/>
  <c r="D33" i="4"/>
  <c r="D44" i="4"/>
  <c r="D51" i="4"/>
  <c r="D70" i="4"/>
  <c r="D79" i="4"/>
  <c r="D88" i="4"/>
  <c r="D95" i="4"/>
  <c r="D123" i="4"/>
  <c r="D132" i="4"/>
  <c r="D140" i="4"/>
  <c r="D114" i="4"/>
  <c r="D112" i="4"/>
  <c r="D121" i="4"/>
  <c r="D24" i="3"/>
  <c r="D13" i="3"/>
  <c r="D28" i="3"/>
  <c r="D10" i="3"/>
  <c r="D25" i="3"/>
  <c r="D6" i="3"/>
  <c r="D128" i="3"/>
  <c r="D122" i="3"/>
  <c r="D123" i="3"/>
  <c r="D124" i="3"/>
  <c r="D116" i="3"/>
  <c r="D118" i="3"/>
  <c r="D119" i="3"/>
  <c r="D111" i="3"/>
  <c r="D113" i="3"/>
  <c r="D115" i="3"/>
  <c r="D106" i="3"/>
  <c r="D29" i="3"/>
  <c r="D23" i="3"/>
  <c r="D19" i="3"/>
  <c r="D16" i="3"/>
  <c r="D15" i="3"/>
  <c r="D9" i="3"/>
  <c r="D7" i="3"/>
  <c r="D129" i="3"/>
  <c r="D120" i="3"/>
  <c r="D114" i="3"/>
  <c r="D31" i="3"/>
  <c r="D20" i="3"/>
  <c r="D14" i="3"/>
  <c r="D8" i="3"/>
  <c r="D142" i="3"/>
  <c r="D141" i="3"/>
  <c r="D136" i="3"/>
  <c r="D137" i="3"/>
  <c r="D138" i="3"/>
  <c r="D139" i="3"/>
  <c r="D140" i="3"/>
  <c r="D131" i="3"/>
  <c r="D132" i="3"/>
  <c r="D133" i="3"/>
  <c r="D134" i="3"/>
  <c r="D135" i="3"/>
  <c r="D126" i="3"/>
  <c r="D127" i="3"/>
  <c r="D130" i="3"/>
  <c r="D121" i="3"/>
  <c r="D125" i="3"/>
  <c r="D117" i="3"/>
  <c r="D112" i="3"/>
  <c r="D26" i="3"/>
  <c r="D12" i="3"/>
  <c r="D4" i="3"/>
  <c r="D107" i="3"/>
  <c r="D108" i="3"/>
  <c r="D181" i="3" s="1"/>
  <c r="D109" i="3"/>
  <c r="D110" i="3"/>
  <c r="D101" i="3"/>
  <c r="D102" i="3"/>
  <c r="D103" i="3"/>
  <c r="D104" i="3"/>
  <c r="D105" i="3"/>
  <c r="D96" i="3"/>
  <c r="D97" i="3"/>
  <c r="D98" i="3"/>
  <c r="D99" i="3"/>
  <c r="D100" i="3"/>
  <c r="D95" i="3"/>
  <c r="D91" i="3"/>
  <c r="D92" i="3"/>
  <c r="D93" i="3"/>
  <c r="D94" i="3"/>
  <c r="D90" i="3"/>
  <c r="D89" i="3"/>
  <c r="D88" i="3"/>
  <c r="D87" i="3"/>
  <c r="D82" i="3"/>
  <c r="D83" i="3"/>
  <c r="D84" i="3"/>
  <c r="D85" i="3"/>
  <c r="D86" i="3"/>
  <c r="D77" i="3"/>
  <c r="D78" i="3"/>
  <c r="D79" i="3"/>
  <c r="D80" i="3"/>
  <c r="D81" i="3"/>
  <c r="D72" i="3"/>
  <c r="D73" i="3"/>
  <c r="D43" i="3"/>
  <c r="D40" i="3"/>
  <c r="D36" i="3"/>
  <c r="D34" i="3"/>
  <c r="D33" i="3"/>
  <c r="D21" i="3"/>
  <c r="D74" i="3"/>
  <c r="D75" i="3"/>
  <c r="D76" i="3"/>
  <c r="D67" i="3"/>
  <c r="D68" i="3"/>
  <c r="D69" i="3"/>
  <c r="D70" i="3"/>
  <c r="D71" i="3"/>
  <c r="D62" i="3"/>
  <c r="D63" i="3"/>
  <c r="D64" i="3"/>
  <c r="D65" i="3"/>
  <c r="D66" i="3"/>
  <c r="D57" i="3"/>
  <c r="D58" i="3"/>
  <c r="D59" i="3"/>
  <c r="D60" i="3"/>
  <c r="D61" i="3"/>
  <c r="D52" i="3"/>
  <c r="D53" i="3"/>
  <c r="D54" i="3"/>
  <c r="D55" i="3"/>
  <c r="D56" i="3"/>
  <c r="D51" i="3"/>
  <c r="D50" i="3"/>
  <c r="D49" i="3"/>
  <c r="D48" i="3"/>
  <c r="D47" i="3"/>
  <c r="D46" i="3"/>
  <c r="D45" i="3"/>
  <c r="D44" i="3"/>
  <c r="D42" i="3"/>
  <c r="D41" i="3"/>
  <c r="D39" i="3"/>
  <c r="D37" i="3"/>
  <c r="D35" i="3"/>
  <c r="D30" i="3"/>
  <c r="D17" i="3"/>
  <c r="D38" i="3"/>
  <c r="D32" i="3"/>
  <c r="D27" i="3"/>
  <c r="D22" i="3"/>
  <c r="D18" i="3"/>
  <c r="D11" i="3"/>
  <c r="D5" i="3"/>
  <c r="D3" i="3"/>
  <c r="D2" i="4"/>
  <c r="D2" i="3"/>
  <c r="D180" i="4" l="1"/>
  <c r="D176" i="4"/>
  <c r="D177" i="3"/>
  <c r="D183" i="3" l="1"/>
  <c r="D185" i="3" s="1"/>
  <c r="E121" i="1"/>
  <c r="E123" i="1" s="1"/>
  <c r="D182" i="4"/>
  <c r="D184" i="4" s="1"/>
</calcChain>
</file>

<file path=xl/sharedStrings.xml><?xml version="1.0" encoding="utf-8"?>
<sst xmlns="http://schemas.openxmlformats.org/spreadsheetml/2006/main" count="910" uniqueCount="413">
  <si>
    <t>Организация</t>
  </si>
  <si>
    <t>Номер помещения</t>
  </si>
  <si>
    <t>№ счетчика</t>
  </si>
  <si>
    <t>Тип ресурса</t>
  </si>
  <si>
    <t>Коэффициент трансформации</t>
  </si>
  <si>
    <t>25_15145897</t>
  </si>
  <si>
    <t>ХВС</t>
  </si>
  <si>
    <t>25_15145868</t>
  </si>
  <si>
    <t>ГВС</t>
  </si>
  <si>
    <t>51662071-25</t>
  </si>
  <si>
    <t>Электричество</t>
  </si>
  <si>
    <t>25_15238052</t>
  </si>
  <si>
    <t>25_15145861</t>
  </si>
  <si>
    <t>23_09540666</t>
  </si>
  <si>
    <t>23_11081507</t>
  </si>
  <si>
    <t>49555472-24</t>
  </si>
  <si>
    <t>25_15141424</t>
  </si>
  <si>
    <t>25_15140861</t>
  </si>
  <si>
    <t>48028177-23</t>
  </si>
  <si>
    <t>48028229-23</t>
  </si>
  <si>
    <t>25_15238042</t>
  </si>
  <si>
    <t>25_15145848</t>
  </si>
  <si>
    <t>47883613-23</t>
  </si>
  <si>
    <t>ООО «Скайсити Эстейт Менеджмент»</t>
  </si>
  <si>
    <t>23_11081985</t>
  </si>
  <si>
    <t>45336943_21</t>
  </si>
  <si>
    <t>ИП Чувелёв Алексей Николаевич</t>
  </si>
  <si>
    <t>23_10968075</t>
  </si>
  <si>
    <t>23_10968965</t>
  </si>
  <si>
    <t>48028983_23</t>
  </si>
  <si>
    <t>ООО «ПМ-1»</t>
  </si>
  <si>
    <t>23_10971265</t>
  </si>
  <si>
    <t>23_10968073</t>
  </si>
  <si>
    <t>47883996_23</t>
  </si>
  <si>
    <t xml:space="preserve">ООО «СТРУКТУРА ИНВЕСТ» </t>
  </si>
  <si>
    <t>23_10971258</t>
  </si>
  <si>
    <t>23_10970618</t>
  </si>
  <si>
    <t>48028502_23</t>
  </si>
  <si>
    <t xml:space="preserve">ИП Леонов Антон Александрович </t>
  </si>
  <si>
    <t>23_10968018</t>
  </si>
  <si>
    <t>23_10971551</t>
  </si>
  <si>
    <t>ООО Торговый Дом «Кирово-Чепецкая Химическая компания»</t>
  </si>
  <si>
    <t>23_11039674</t>
  </si>
  <si>
    <t>ООО "МИКА"</t>
  </si>
  <si>
    <t>ООО «Перспектива»</t>
  </si>
  <si>
    <t>ООО "Эстейт Инвест Плюс"</t>
  </si>
  <si>
    <t>ООО «ФАЛЬКОН»</t>
  </si>
  <si>
    <t>ООО "ПРЕСТИЖ-ПАК"</t>
  </si>
  <si>
    <t>ИП Соболева Татьяна Алексеевна</t>
  </si>
  <si>
    <t>ООО "Гофропак"</t>
  </si>
  <si>
    <t xml:space="preserve">ИП Амиралиева Елена Юрьевна </t>
  </si>
  <si>
    <t>ИП Зимин Иван Алексеевич</t>
  </si>
  <si>
    <t>ИП Скворцова Нина Владимировна</t>
  </si>
  <si>
    <t>ИП Пекуровский Илья Борисович</t>
  </si>
  <si>
    <t>ООО «Шанс Трейд»</t>
  </si>
  <si>
    <t xml:space="preserve">ИП Ким Наталья Викторовна </t>
  </si>
  <si>
    <t>ИП Шашков Николай Александрович, и
ИП Тарабычин Николай Аркадьевич</t>
  </si>
  <si>
    <t>АО «Аэлита»</t>
  </si>
  <si>
    <t>ООО «МАНСАНА РУС»</t>
  </si>
  <si>
    <t xml:space="preserve">ООО ЗЕМДОРСТРОЙ </t>
  </si>
  <si>
    <t>ИП Курова Алина Кирилловна</t>
  </si>
  <si>
    <t>ИП Шашков Николай Александрович, ИП Тарабычин Николай Аркадьевич</t>
  </si>
  <si>
    <t>ИП Рыбакова Наталья Владимировна</t>
  </si>
  <si>
    <t>ООО «МОДУЛЬ»</t>
  </si>
  <si>
    <t>ООО "ДубльГИС-Благовещенск"</t>
  </si>
  <si>
    <t>ООО "ОС ФАРМА"</t>
  </si>
  <si>
    <t>ИП Скворцов Вячеслав Вячеславович</t>
  </si>
  <si>
    <t>ООО «КЭНДИ ТАЙМ»</t>
  </si>
  <si>
    <t>ИП Востряков Антон Юрьевич</t>
  </si>
  <si>
    <t xml:space="preserve">Филиал Компании Свободной Экономической Зоны с ограниченной ответственностью ЗАЛЬЦБУРГ ГРУП ФЗКО </t>
  </si>
  <si>
    <t>23_11466674</t>
  </si>
  <si>
    <t>23_10971789</t>
  </si>
  <si>
    <t xml:space="preserve">ООО ЛЕГАТ </t>
  </si>
  <si>
    <t>23_10824233</t>
  </si>
  <si>
    <t>23_11078036</t>
  </si>
  <si>
    <t>23_10979133</t>
  </si>
  <si>
    <t>23_11078043</t>
  </si>
  <si>
    <t>23_10971007</t>
  </si>
  <si>
    <t>23_10978660</t>
  </si>
  <si>
    <t>23_11043803</t>
  </si>
  <si>
    <t>23_11030204</t>
  </si>
  <si>
    <t>23_11081964</t>
  </si>
  <si>
    <t>23_10978659</t>
  </si>
  <si>
    <t>АО «ПРО-КОНСАЛТ»</t>
  </si>
  <si>
    <t>23_10971323</t>
  </si>
  <si>
    <t>23_10966639</t>
  </si>
  <si>
    <t>23_10971688</t>
  </si>
  <si>
    <t>23_10966648</t>
  </si>
  <si>
    <t>23_10966644</t>
  </si>
  <si>
    <t>23_10971307</t>
  </si>
  <si>
    <t>23_10966647</t>
  </si>
  <si>
    <t>23_10971333</t>
  </si>
  <si>
    <t>23_10971339</t>
  </si>
  <si>
    <t>23_10966640</t>
  </si>
  <si>
    <t>47947762-23</t>
  </si>
  <si>
    <t>23_11466577</t>
  </si>
  <si>
    <t>23_10971403</t>
  </si>
  <si>
    <t>23_11466677</t>
  </si>
  <si>
    <t>23_11466826</t>
  </si>
  <si>
    <t>23_11466563</t>
  </si>
  <si>
    <t>23_11466570</t>
  </si>
  <si>
    <t>23_10966572</t>
  </si>
  <si>
    <t>23_11466844</t>
  </si>
  <si>
    <t>23_11466870</t>
  </si>
  <si>
    <t>23_11466576</t>
  </si>
  <si>
    <t>47948445-23</t>
  </si>
  <si>
    <t>23_11466569</t>
  </si>
  <si>
    <t>23_11032786</t>
  </si>
  <si>
    <t>23_11466566</t>
  </si>
  <si>
    <t>23_11466556</t>
  </si>
  <si>
    <t>23_11466572</t>
  </si>
  <si>
    <t>23_11466573</t>
  </si>
  <si>
    <t>23_11032665</t>
  </si>
  <si>
    <t>23_11466813</t>
  </si>
  <si>
    <t>23_11466820</t>
  </si>
  <si>
    <t>23_11466564</t>
  </si>
  <si>
    <t>47948692-23</t>
  </si>
  <si>
    <t>23_11029408</t>
  </si>
  <si>
    <t>23_11466819</t>
  </si>
  <si>
    <t>23_10975535</t>
  </si>
  <si>
    <t>23_11029430</t>
  </si>
  <si>
    <t>23_10985057</t>
  </si>
  <si>
    <t>23_10980025</t>
  </si>
  <si>
    <t>23_10975536</t>
  </si>
  <si>
    <t>23_11034883</t>
  </si>
  <si>
    <t>23_10979158</t>
  </si>
  <si>
    <t>23_11466856</t>
  </si>
  <si>
    <t>47946886-23</t>
  </si>
  <si>
    <t xml:space="preserve">ИП Матвеев Артем Александрович </t>
  </si>
  <si>
    <t>47948591-23</t>
  </si>
  <si>
    <t>23_11035764</t>
  </si>
  <si>
    <t>23_11035767</t>
  </si>
  <si>
    <t>23_11035783</t>
  </si>
  <si>
    <t>23_11035771</t>
  </si>
  <si>
    <t>23_11035769</t>
  </si>
  <si>
    <t>23_11035763</t>
  </si>
  <si>
    <t>23_11035765</t>
  </si>
  <si>
    <t>23_11035780</t>
  </si>
  <si>
    <t>23_11035768</t>
  </si>
  <si>
    <t>23_11035770</t>
  </si>
  <si>
    <t>47948662-23</t>
  </si>
  <si>
    <t>23_11081987</t>
  </si>
  <si>
    <t>23_11039822</t>
  </si>
  <si>
    <t>47314618-22</t>
  </si>
  <si>
    <t>23_10969934</t>
  </si>
  <si>
    <t>23_11078055</t>
  </si>
  <si>
    <t>47180054-22</t>
  </si>
  <si>
    <t>23_11083054</t>
  </si>
  <si>
    <t>23_11083050</t>
  </si>
  <si>
    <t>47315700-22</t>
  </si>
  <si>
    <t>23_11035723</t>
  </si>
  <si>
    <t>23_11035725</t>
  </si>
  <si>
    <t>47049629-22</t>
  </si>
  <si>
    <t>23_11083055</t>
  </si>
  <si>
    <t>23_11083052</t>
  </si>
  <si>
    <t>23_11083049</t>
  </si>
  <si>
    <t>23_10983994</t>
  </si>
  <si>
    <t>23_11083057</t>
  </si>
  <si>
    <t>23_11083058</t>
  </si>
  <si>
    <t>23_11083051</t>
  </si>
  <si>
    <t>23_11031908</t>
  </si>
  <si>
    <t>48030200-23</t>
  </si>
  <si>
    <t>23_11083060</t>
  </si>
  <si>
    <t>23_11083056</t>
  </si>
  <si>
    <t>ООО "Тритайл"</t>
  </si>
  <si>
    <t>23_11031127</t>
  </si>
  <si>
    <t>23_10985071</t>
  </si>
  <si>
    <t>23_10985059</t>
  </si>
  <si>
    <t>23_11034656</t>
  </si>
  <si>
    <t>23_11031995</t>
  </si>
  <si>
    <t>23_11032790</t>
  </si>
  <si>
    <t>23_10985067</t>
  </si>
  <si>
    <t>23_11031098</t>
  </si>
  <si>
    <t>23_10985076</t>
  </si>
  <si>
    <t>23_10975537</t>
  </si>
  <si>
    <t xml:space="preserve">49157787-24  </t>
  </si>
  <si>
    <t>23_11031111</t>
  </si>
  <si>
    <t>23_10975479</t>
  </si>
  <si>
    <t>23_10985080</t>
  </si>
  <si>
    <t>23_11032001</t>
  </si>
  <si>
    <t>23_10985072</t>
  </si>
  <si>
    <t>23_10985069</t>
  </si>
  <si>
    <t>23_11031900</t>
  </si>
  <si>
    <t>23_10971045</t>
  </si>
  <si>
    <t>23_11031119</t>
  </si>
  <si>
    <t>23_10975468</t>
  </si>
  <si>
    <t xml:space="preserve">49242216-24     </t>
  </si>
  <si>
    <t>23_10969992</t>
  </si>
  <si>
    <t>23_10969990</t>
  </si>
  <si>
    <t>23_11032805</t>
  </si>
  <si>
    <t>23_10969994</t>
  </si>
  <si>
    <t>23_10969985</t>
  </si>
  <si>
    <t>23_11031909</t>
  </si>
  <si>
    <t>23_10969989</t>
  </si>
  <si>
    <t>23_10971035</t>
  </si>
  <si>
    <t>23_10969995</t>
  </si>
  <si>
    <t>23_10975470</t>
  </si>
  <si>
    <t xml:space="preserve">49242267-24      </t>
  </si>
  <si>
    <t>23_10969991</t>
  </si>
  <si>
    <t>23_10969993</t>
  </si>
  <si>
    <t>23_10971040</t>
  </si>
  <si>
    <t>23_11041112</t>
  </si>
  <si>
    <t>23_11032798</t>
  </si>
  <si>
    <t>23_10969987</t>
  </si>
  <si>
    <t>23_11043792</t>
  </si>
  <si>
    <t>23_10970984</t>
  </si>
  <si>
    <t>23_11078795</t>
  </si>
  <si>
    <t>24_12187831</t>
  </si>
  <si>
    <t xml:space="preserve">49242266-24    </t>
  </si>
  <si>
    <t>23_11043009</t>
  </si>
  <si>
    <t>23_11043008</t>
  </si>
  <si>
    <t>23_11031947</t>
  </si>
  <si>
    <t>23_11043005</t>
  </si>
  <si>
    <t>23_11031083</t>
  </si>
  <si>
    <t>23_11042999</t>
  </si>
  <si>
    <t>23_11043002</t>
  </si>
  <si>
    <t>23_11032557</t>
  </si>
  <si>
    <t>23_11043006</t>
  </si>
  <si>
    <t>23_10983831</t>
  </si>
  <si>
    <t>23_11043003</t>
  </si>
  <si>
    <t>23_11043001</t>
  </si>
  <si>
    <t>23_11031095</t>
  </si>
  <si>
    <t>23_11043004</t>
  </si>
  <si>
    <t>23_11081644</t>
  </si>
  <si>
    <t>23_11042998</t>
  </si>
  <si>
    <t>23_11043007</t>
  </si>
  <si>
    <t>23_11031957</t>
  </si>
  <si>
    <t>23_11043000</t>
  </si>
  <si>
    <t>23_11035714</t>
  </si>
  <si>
    <t xml:space="preserve">49242135-24   </t>
  </si>
  <si>
    <t>23_10971032</t>
  </si>
  <si>
    <t>23_11032660</t>
  </si>
  <si>
    <t>23_11029463</t>
  </si>
  <si>
    <t>23_11031117</t>
  </si>
  <si>
    <t>23_11035721</t>
  </si>
  <si>
    <t>23_11031540</t>
  </si>
  <si>
    <t>23_11031956</t>
  </si>
  <si>
    <t>23_10983944</t>
  </si>
  <si>
    <t>23_11032804</t>
  </si>
  <si>
    <t>23_11035722</t>
  </si>
  <si>
    <t xml:space="preserve">49242451-24 </t>
  </si>
  <si>
    <t>23_11035719</t>
  </si>
  <si>
    <t>23_10978922</t>
  </si>
  <si>
    <t>23_10983832</t>
  </si>
  <si>
    <t>23_11081502</t>
  </si>
  <si>
    <t>23_11035724</t>
  </si>
  <si>
    <t>23_11035718</t>
  </si>
  <si>
    <t>23_11034635</t>
  </si>
  <si>
    <t>23_11081509</t>
  </si>
  <si>
    <t>23_11081504</t>
  </si>
  <si>
    <t>23_11035715</t>
  </si>
  <si>
    <t xml:space="preserve">49242169-24   </t>
  </si>
  <si>
    <t>Показание на начало периода</t>
  </si>
  <si>
    <t>Показание на конец периода</t>
  </si>
  <si>
    <t>Коэфф. тр.</t>
  </si>
  <si>
    <t>Потребление, 
кВт*ч</t>
  </si>
  <si>
    <t>Потребление, м³</t>
  </si>
  <si>
    <t>ИП Гришина Лариса Викторовна</t>
  </si>
  <si>
    <t>ООО Дорожно-строительная компания «Гранит»</t>
  </si>
  <si>
    <t>АО Эпсилон</t>
  </si>
  <si>
    <t>АО «Негосударственный пенсионный фонд ГАЗФОНД пенсионные накопления»</t>
  </si>
  <si>
    <t>23_11035727</t>
  </si>
  <si>
    <t>23_11081986</t>
  </si>
  <si>
    <t>23_11035729</t>
  </si>
  <si>
    <t>23_11035733</t>
  </si>
  <si>
    <t>23_11035735</t>
  </si>
  <si>
    <t>23_11035734</t>
  </si>
  <si>
    <t>23_11078039</t>
  </si>
  <si>
    <t>23_11035730</t>
  </si>
  <si>
    <t>23_11035728</t>
  </si>
  <si>
    <t>23_11035726</t>
  </si>
  <si>
    <t>51845988-25</t>
  </si>
  <si>
    <t>23_10971112</t>
  </si>
  <si>
    <t>23_10967997</t>
  </si>
  <si>
    <t>Электричество ЩЭСС</t>
  </si>
  <si>
    <t>48030421-23</t>
  </si>
  <si>
    <t>47946518_23</t>
  </si>
  <si>
    <t>Итог:</t>
  </si>
  <si>
    <t>СТ-06,28
(Айконлаб)</t>
  </si>
  <si>
    <t>СТ-06,34
(Surf Coffee)</t>
  </si>
  <si>
    <t>СТ-06,39
(PHO NGON)</t>
  </si>
  <si>
    <t>СТ-06,31
(СЭТ)</t>
  </si>
  <si>
    <t>СТ-06,29
(Аптека 36,6)</t>
  </si>
  <si>
    <t>СТ-06,35
(TAPIOKA)</t>
  </si>
  <si>
    <t>СТ-06,25</t>
  </si>
  <si>
    <t>Т2-12,16</t>
  </si>
  <si>
    <t>Т2-12,17</t>
  </si>
  <si>
    <t>Т2-12,18</t>
  </si>
  <si>
    <t>Т2-13,12</t>
  </si>
  <si>
    <t>Т2-14,17</t>
  </si>
  <si>
    <t>Т2-16,10</t>
  </si>
  <si>
    <t>Т2-16,15</t>
  </si>
  <si>
    <t>Т2-17,13</t>
  </si>
  <si>
    <t>Т2-17,14</t>
  </si>
  <si>
    <t>Т2-18,01</t>
  </si>
  <si>
    <t>Т2-18,15</t>
  </si>
  <si>
    <t>Т2-18,16</t>
  </si>
  <si>
    <t>Т2-19,12</t>
  </si>
  <si>
    <t>Т2-19,16</t>
  </si>
  <si>
    <t>Т2-19,17</t>
  </si>
  <si>
    <t>Т2-20,11</t>
  </si>
  <si>
    <t>Т2-20,13</t>
  </si>
  <si>
    <t>Т2-21,01</t>
  </si>
  <si>
    <t>Т2-21,15</t>
  </si>
  <si>
    <t>Т2-21,16</t>
  </si>
  <si>
    <t>Т2-21,17</t>
  </si>
  <si>
    <t>Т2-21,18</t>
  </si>
  <si>
    <t>Т2-23,01</t>
  </si>
  <si>
    <t>Т2-23,17</t>
  </si>
  <si>
    <t>Т2-23,18</t>
  </si>
  <si>
    <t>Т2-24,01</t>
  </si>
  <si>
    <t>Т2-24,14</t>
  </si>
  <si>
    <t>Т2-25,01</t>
  </si>
  <si>
    <t>Т2-25,18</t>
  </si>
  <si>
    <t>Т2-27,01</t>
  </si>
  <si>
    <t>Т2-27,11</t>
  </si>
  <si>
    <t>Т2-27,14</t>
  </si>
  <si>
    <t>Т2-28,01</t>
  </si>
  <si>
    <t>Т2-28,15</t>
  </si>
  <si>
    <t>Т2-28,19</t>
  </si>
  <si>
    <t>Т2-28,16</t>
  </si>
  <si>
    <t>Т2-29,01</t>
  </si>
  <si>
    <t>Т2-29,14</t>
  </si>
  <si>
    <t>Т2-29,15</t>
  </si>
  <si>
    <t>Т2-29,16</t>
  </si>
  <si>
    <t>Т2-29,18</t>
  </si>
  <si>
    <t>Т2-32,01</t>
  </si>
  <si>
    <t>Т2-36,01</t>
  </si>
  <si>
    <t>Т2-37,01</t>
  </si>
  <si>
    <t>Т2-38,01</t>
  </si>
  <si>
    <t>Т2-39,01</t>
  </si>
  <si>
    <t>Т2-44,01</t>
  </si>
  <si>
    <t>Т2-45,01</t>
  </si>
  <si>
    <t>Т2-51,13</t>
  </si>
  <si>
    <t>Т2-51,14</t>
  </si>
  <si>
    <t>Т2-51,15</t>
  </si>
  <si>
    <t>Т2-51,16</t>
  </si>
  <si>
    <t>Т2-52,01</t>
  </si>
  <si>
    <t>Т2-52,12</t>
  </si>
  <si>
    <t>Т2-53,12</t>
  </si>
  <si>
    <t>Т2-54,12</t>
  </si>
  <si>
    <t>Т2-55,12</t>
  </si>
  <si>
    <t>Т2-56,12</t>
  </si>
  <si>
    <t>Т2-57,12</t>
  </si>
  <si>
    <t>Т2-58,12</t>
  </si>
  <si>
    <t>Т2-59,10</t>
  </si>
  <si>
    <t>Т2-60,14</t>
  </si>
  <si>
    <t>Т2-50,01</t>
  </si>
  <si>
    <t>23_11035766</t>
  </si>
  <si>
    <t>23_11035762</t>
  </si>
  <si>
    <t>СТ-01,65
(WB)</t>
  </si>
  <si>
    <t>23_11081511</t>
  </si>
  <si>
    <t>23_11031554</t>
  </si>
  <si>
    <t>47824789-23</t>
  </si>
  <si>
    <t>СТ-01,73
(Monte Luxe)</t>
  </si>
  <si>
    <t>25_15402002</t>
  </si>
  <si>
    <t>25_15399810</t>
  </si>
  <si>
    <t>48028167-23</t>
  </si>
  <si>
    <t>СТ-6, 7, 8
(XFIT)</t>
  </si>
  <si>
    <t>47947358-23</t>
  </si>
  <si>
    <t>47881859-23</t>
  </si>
  <si>
    <t>ИТОГО ЭПСИЛОН (Арендаторы)</t>
  </si>
  <si>
    <t>ИТОГО СОБСТВЕННИКИ (на СМР)</t>
  </si>
  <si>
    <t>ИТОГО ЭПСИЛОН + СОБСТВЕННИКИ</t>
  </si>
  <si>
    <t>Остаток</t>
  </si>
  <si>
    <t>Т2-24,16</t>
  </si>
  <si>
    <t>Т2-26,14</t>
  </si>
  <si>
    <t>Показания на конец декабря</t>
  </si>
  <si>
    <t>23_10968020</t>
  </si>
  <si>
    <t>47947258_23</t>
  </si>
  <si>
    <t>48030373_23</t>
  </si>
  <si>
    <t>47947519_23</t>
  </si>
  <si>
    <t>47947261_23</t>
  </si>
  <si>
    <t>47947310_23</t>
  </si>
  <si>
    <t>47946532-23</t>
  </si>
  <si>
    <t>47947306-23</t>
  </si>
  <si>
    <t>48030399-23</t>
  </si>
  <si>
    <t>47947359-23</t>
  </si>
  <si>
    <t>47946855-23</t>
  </si>
  <si>
    <t>47947450-23</t>
  </si>
  <si>
    <t>48030276-23</t>
  </si>
  <si>
    <t>49747368-23</t>
  </si>
  <si>
    <t>47947096-23</t>
  </si>
  <si>
    <t>47946716-23</t>
  </si>
  <si>
    <t>49242498-24</t>
  </si>
  <si>
    <t>51800909-25</t>
  </si>
  <si>
    <t>51801541-25</t>
  </si>
  <si>
    <t>ООО «НЦКМИ», ИП Ховрико Олеся Николаевна, ИП Раззорёнов Олег Юрьевич</t>
  </si>
  <si>
    <t>Т2-14,16</t>
  </si>
  <si>
    <t>ИП Богуж А.В.</t>
  </si>
  <si>
    <t>АБ Капитал ЗПИФ "СТАРЛИНГ" (ранее Скворцова)</t>
  </si>
  <si>
    <t>АБ Капитал ЗПИФ "СТАРЛИНГ" (ранее Скворцов)</t>
  </si>
  <si>
    <t>ИТОГО:</t>
  </si>
  <si>
    <t>Т2-16,13</t>
  </si>
  <si>
    <t>ООО Флоресан</t>
  </si>
  <si>
    <t>ООО Нива</t>
  </si>
  <si>
    <t>АО «М-Холдинг»</t>
  </si>
  <si>
    <t>Т2-43.01</t>
  </si>
  <si>
    <t>ИП Калантарова А. Г</t>
  </si>
  <si>
    <t>ЗАО «Лидер»</t>
  </si>
  <si>
    <t>Т2-49,01</t>
  </si>
  <si>
    <t>ООО «Вербена Компани»</t>
  </si>
  <si>
    <t>N2-42,01</t>
  </si>
  <si>
    <t>N2-17,01</t>
  </si>
  <si>
    <t>N2-24,15</t>
  </si>
  <si>
    <t>ИП Скворцов В. В.</t>
  </si>
  <si>
    <t>Т2-30,01</t>
  </si>
  <si>
    <t>Т2-31,01</t>
  </si>
  <si>
    <t>Показания на конец января</t>
  </si>
  <si>
    <t>Потребление</t>
  </si>
  <si>
    <t>СТ-06,38
(Лепим и Варим)</t>
  </si>
  <si>
    <t>АО Эпсилон
(MR Group Pridex)</t>
  </si>
  <si>
    <t>СТ-06,30
(СИТИМАРКЕТ)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</si>
</sst>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70" formatCode="#,##0.000"/>
  </numFmts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 applyAlignment="1">
      <alignment horizontal="right" vertical="center"/>
    </xf>
    <xf numFmtId="164" fontId="3" fillId="0" borderId="1" xfId="1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2" applyNumberFormat="1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64" fontId="0" fillId="3" borderId="1" xfId="2" applyNumberFormat="1" applyFont="1" applyFill="1" applyBorder="1" applyAlignment="1">
      <alignment vertical="center"/>
    </xf>
    <xf numFmtId="164" fontId="0" fillId="0" borderId="1" xfId="2" applyNumberFormat="1" applyFont="1" applyBorder="1" applyAlignment="1" applyProtection="1">
      <alignment vertical="center"/>
      <protection locked="0"/>
    </xf>
    <xf numFmtId="164" fontId="0" fillId="0" borderId="1" xfId="2" applyNumberFormat="1" applyFont="1" applyFill="1" applyBorder="1" applyAlignment="1">
      <alignment vertical="center"/>
    </xf>
    <xf numFmtId="164" fontId="3" fillId="0" borderId="1" xfId="2" applyNumberFormat="1" applyBorder="1" applyAlignment="1">
      <alignment horizontal="right" vertical="center"/>
    </xf>
    <xf numFmtId="164" fontId="4" fillId="0" borderId="1" xfId="2" applyNumberFormat="1" applyFont="1" applyFill="1" applyBorder="1" applyAlignment="1">
      <alignment vertical="center"/>
    </xf>
    <xf numFmtId="164" fontId="3" fillId="3" borderId="1" xfId="2" applyNumberForma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0" applyNumberFormat="1"/>
    <xf numFmtId="1" fontId="1" fillId="2" borderId="1" xfId="0" applyNumberFormat="1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center"/>
    </xf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1" fontId="0" fillId="0" borderId="0" xfId="0" applyNumberFormat="1"/>
    <xf numFmtId="1" fontId="0" fillId="0" borderId="4" xfId="0" applyNumberFormat="1" applyBorder="1"/>
    <xf numFmtId="1" fontId="1" fillId="3" borderId="0" xfId="0" applyNumberFormat="1" applyFont="1" applyFill="1"/>
    <xf numFmtId="1" fontId="1" fillId="4" borderId="0" xfId="0" applyNumberFormat="1" applyFont="1" applyFill="1"/>
    <xf numFmtId="1" fontId="1" fillId="0" borderId="0" xfId="0" applyNumberFormat="1" applyFont="1"/>
    <xf numFmtId="164" fontId="1" fillId="0" borderId="1" xfId="0" applyNumberFormat="1" applyFont="1" applyBorder="1" applyAlignment="1">
      <alignment horizontal="center" vertical="top" wrapText="1"/>
    </xf>
    <xf numFmtId="164" fontId="0" fillId="0" borderId="4" xfId="0" applyNumberFormat="1" applyBorder="1"/>
    <xf numFmtId="164" fontId="0" fillId="3" borderId="0" xfId="0" applyNumberFormat="1" applyFill="1"/>
    <xf numFmtId="164" fontId="0" fillId="4" borderId="0" xfId="0" applyNumberFormat="1" applyFill="1"/>
    <xf numFmtId="164" fontId="1" fillId="2" borderId="1" xfId="0" applyNumberFormat="1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 applyAlignment="1">
      <alignment horizontal="right" vertical="center"/>
    </xf>
    <xf numFmtId="1" fontId="0" fillId="3" borderId="1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2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164" fontId="0" fillId="0" borderId="0" xfId="2" applyNumberFormat="1" applyFont="1" applyAlignment="1">
      <alignment vertical="center"/>
    </xf>
    <xf numFmtId="0" fontId="0" fillId="0" borderId="1" xfId="0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/>
    <xf numFmtId="164" fontId="1" fillId="5" borderId="0" xfId="0" applyNumberFormat="1" applyFont="1" applyFill="1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64" fontId="0" fillId="3" borderId="1" xfId="2" applyNumberFormat="1" applyFont="1" applyFill="1" applyBorder="1" applyAlignment="1" applyProtection="1">
      <alignment vertical="center"/>
      <protection locked="0"/>
    </xf>
    <xf numFmtId="170" fontId="1" fillId="0" borderId="2" xfId="0" applyNumberFormat="1" applyFont="1" applyBorder="1"/>
    <xf numFmtId="170" fontId="0" fillId="0" borderId="0" xfId="0" applyNumberFormat="1"/>
    <xf numFmtId="170" fontId="1" fillId="3" borderId="0" xfId="0" applyNumberFormat="1" applyFont="1" applyFill="1"/>
    <xf numFmtId="170" fontId="1" fillId="4" borderId="0" xfId="0" applyNumberFormat="1" applyFont="1" applyFill="1"/>
  </cellXfs>
  <cellStyles count="3">
    <cellStyle name="Обычный" xfId="0" builtinId="0"/>
    <cellStyle name="Обычный 2" xfId="1" xr:uid="{9DB85514-29B0-4C54-8A88-E3A4CD85D270}"/>
    <cellStyle name="Финансовый" xfId="2" builtinId="3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E0F6-02A6-4121-96E6-F8A5D8164E3D}">
  <sheetPr>
    <pageSetUpPr fitToPage="1"/>
  </sheetPr>
  <dimension ref="A1:H452"/>
  <sheetViews>
    <sheetView topLeftCell="A406" zoomScaleNormal="100" zoomScaleSheetLayoutView="115" workbookViewId="0">
      <selection activeCell="G219" sqref="G219"/>
    </sheetView>
  </sheetViews>
  <sheetFormatPr defaultColWidth="30.5546875" defaultRowHeight="14.4" x14ac:dyDescent="0.3"/>
  <cols>
    <col min="1" max="1" width="25.88671875" style="5" customWidth="1"/>
    <col min="2" max="2" width="22" style="5" bestFit="1" customWidth="1"/>
    <col min="3" max="3" width="15.88671875" style="5" bestFit="1" customWidth="1"/>
    <col min="4" max="4" width="19.88671875" style="5" bestFit="1" customWidth="1"/>
    <col min="5" max="5" width="19.6640625" style="62" bestFit="1" customWidth="1"/>
    <col min="6" max="6" width="18.6640625" style="65" bestFit="1" customWidth="1"/>
    <col min="7" max="7" width="19.109375" style="66" bestFit="1" customWidth="1"/>
    <col min="8" max="8" width="13" style="66" customWidth="1"/>
    <col min="9" max="16384" width="30.5546875" style="5"/>
  </cols>
  <sheetData>
    <row r="1" spans="1:8" ht="28.8" x14ac:dyDescent="0.3">
      <c r="A1" s="24" t="s">
        <v>0</v>
      </c>
      <c r="B1" s="25" t="s">
        <v>1</v>
      </c>
      <c r="C1" s="26" t="s">
        <v>2</v>
      </c>
      <c r="D1" s="26" t="s">
        <v>3</v>
      </c>
      <c r="E1" s="58" t="s">
        <v>4</v>
      </c>
      <c r="F1" s="63" t="s">
        <v>367</v>
      </c>
      <c r="G1" s="64" t="s">
        <v>408</v>
      </c>
      <c r="H1" s="64" t="s">
        <v>409</v>
      </c>
    </row>
    <row r="2" spans="1:8" x14ac:dyDescent="0.3">
      <c r="A2" s="78" t="s">
        <v>259</v>
      </c>
      <c r="B2" s="72" t="s">
        <v>350</v>
      </c>
      <c r="C2" s="10" t="s">
        <v>351</v>
      </c>
      <c r="D2" s="10" t="s">
        <v>6</v>
      </c>
      <c r="E2" s="11"/>
      <c r="F2" s="34">
        <v>1.2410000000000001</v>
      </c>
      <c r="G2" s="81">
        <v>1.8819999999999999</v>
      </c>
      <c r="H2" s="30">
        <f>G2-F2</f>
        <v>0.64099999999999979</v>
      </c>
    </row>
    <row r="3" spans="1:8" x14ac:dyDescent="0.3">
      <c r="A3" s="78"/>
      <c r="B3" s="78"/>
      <c r="C3" s="10" t="s">
        <v>352</v>
      </c>
      <c r="D3" s="10" t="s">
        <v>8</v>
      </c>
      <c r="E3" s="11"/>
      <c r="F3" s="34">
        <v>0.316</v>
      </c>
      <c r="G3" s="81">
        <v>0.40699999999999997</v>
      </c>
      <c r="H3" s="30">
        <f t="shared" ref="H3:H65" si="0">G3-F3</f>
        <v>9.099999999999997E-2</v>
      </c>
    </row>
    <row r="4" spans="1:8" x14ac:dyDescent="0.3">
      <c r="A4" s="78"/>
      <c r="B4" s="78"/>
      <c r="C4" s="10" t="s">
        <v>353</v>
      </c>
      <c r="D4" s="10" t="s">
        <v>10</v>
      </c>
      <c r="E4" s="59">
        <v>1</v>
      </c>
      <c r="F4" s="34">
        <v>163.80000000000001</v>
      </c>
      <c r="G4" s="81">
        <v>325.91000000000003</v>
      </c>
      <c r="H4" s="30">
        <f t="shared" si="0"/>
        <v>162.11000000000001</v>
      </c>
    </row>
    <row r="5" spans="1:8" x14ac:dyDescent="0.3">
      <c r="A5" s="78" t="s">
        <v>259</v>
      </c>
      <c r="B5" s="72" t="s">
        <v>354</v>
      </c>
      <c r="C5" s="10" t="s">
        <v>355</v>
      </c>
      <c r="D5" s="10" t="s">
        <v>6</v>
      </c>
      <c r="E5" s="11"/>
      <c r="F5" s="34">
        <v>0.215</v>
      </c>
      <c r="G5" s="81">
        <v>0.215</v>
      </c>
      <c r="H5" s="30">
        <f t="shared" si="0"/>
        <v>0</v>
      </c>
    </row>
    <row r="6" spans="1:8" x14ac:dyDescent="0.3">
      <c r="A6" s="78"/>
      <c r="B6" s="78"/>
      <c r="C6" s="10" t="s">
        <v>356</v>
      </c>
      <c r="D6" s="10" t="s">
        <v>8</v>
      </c>
      <c r="E6" s="11"/>
      <c r="F6" s="34">
        <v>6.0000000000000001E-3</v>
      </c>
      <c r="G6" s="81">
        <v>6.0000000000000001E-3</v>
      </c>
      <c r="H6" s="30">
        <f t="shared" si="0"/>
        <v>0</v>
      </c>
    </row>
    <row r="7" spans="1:8" x14ac:dyDescent="0.3">
      <c r="A7" s="78"/>
      <c r="B7" s="78"/>
      <c r="C7" s="10" t="s">
        <v>357</v>
      </c>
      <c r="D7" s="10" t="s">
        <v>10</v>
      </c>
      <c r="E7" s="59">
        <v>1</v>
      </c>
      <c r="F7" s="34">
        <v>4.47</v>
      </c>
      <c r="G7" s="81">
        <v>4.47</v>
      </c>
      <c r="H7" s="30">
        <f t="shared" si="0"/>
        <v>0</v>
      </c>
    </row>
    <row r="8" spans="1:8" x14ac:dyDescent="0.3">
      <c r="A8" s="78" t="s">
        <v>259</v>
      </c>
      <c r="B8" s="72" t="s">
        <v>358</v>
      </c>
      <c r="C8" s="10">
        <v>10960076</v>
      </c>
      <c r="D8" s="10" t="s">
        <v>6</v>
      </c>
      <c r="E8" s="11"/>
      <c r="F8" s="34">
        <v>0.01</v>
      </c>
      <c r="G8" s="81">
        <v>16.748000000000001</v>
      </c>
      <c r="H8" s="30">
        <f t="shared" si="0"/>
        <v>16.738</v>
      </c>
    </row>
    <row r="9" spans="1:8" x14ac:dyDescent="0.3">
      <c r="A9" s="78"/>
      <c r="B9" s="78"/>
      <c r="C9" s="10" t="s">
        <v>359</v>
      </c>
      <c r="D9" s="10" t="s">
        <v>10</v>
      </c>
      <c r="E9" s="59">
        <v>120</v>
      </c>
      <c r="F9" s="34">
        <v>4698.17</v>
      </c>
      <c r="G9" s="81">
        <v>4752.17</v>
      </c>
      <c r="H9" s="30">
        <f t="shared" si="0"/>
        <v>54</v>
      </c>
    </row>
    <row r="10" spans="1:8" x14ac:dyDescent="0.3">
      <c r="A10" s="78"/>
      <c r="B10" s="78"/>
      <c r="C10" s="10" t="s">
        <v>360</v>
      </c>
      <c r="D10" s="10" t="s">
        <v>10</v>
      </c>
      <c r="E10" s="59">
        <v>1</v>
      </c>
      <c r="F10" s="34">
        <v>2.81</v>
      </c>
      <c r="G10" s="81">
        <v>2.81</v>
      </c>
      <c r="H10" s="30">
        <f t="shared" si="0"/>
        <v>0</v>
      </c>
    </row>
    <row r="11" spans="1:8" x14ac:dyDescent="0.3">
      <c r="A11" s="78" t="s">
        <v>259</v>
      </c>
      <c r="B11" s="72" t="s">
        <v>278</v>
      </c>
      <c r="C11" s="10" t="s">
        <v>5</v>
      </c>
      <c r="D11" s="10" t="s">
        <v>6</v>
      </c>
      <c r="E11" s="11"/>
      <c r="F11" s="34">
        <v>4.8970000000000002</v>
      </c>
      <c r="G11" s="81">
        <v>5.5289999999999999</v>
      </c>
      <c r="H11" s="30">
        <f t="shared" si="0"/>
        <v>0.63199999999999967</v>
      </c>
    </row>
    <row r="12" spans="1:8" x14ac:dyDescent="0.3">
      <c r="A12" s="78"/>
      <c r="B12" s="78"/>
      <c r="C12" s="10" t="s">
        <v>7</v>
      </c>
      <c r="D12" s="10" t="s">
        <v>8</v>
      </c>
      <c r="E12" s="11"/>
      <c r="F12" s="34">
        <v>0.249</v>
      </c>
      <c r="G12" s="81">
        <v>0.54900000000000004</v>
      </c>
      <c r="H12" s="30">
        <f t="shared" si="0"/>
        <v>0.30000000000000004</v>
      </c>
    </row>
    <row r="13" spans="1:8" x14ac:dyDescent="0.3">
      <c r="A13" s="78"/>
      <c r="B13" s="78"/>
      <c r="C13" s="10" t="s">
        <v>9</v>
      </c>
      <c r="D13" s="10" t="s">
        <v>10</v>
      </c>
      <c r="E13" s="59">
        <v>1</v>
      </c>
      <c r="F13" s="34">
        <v>181.86</v>
      </c>
      <c r="G13" s="81">
        <v>316.89999999999998</v>
      </c>
      <c r="H13" s="30">
        <f t="shared" si="0"/>
        <v>135.03999999999996</v>
      </c>
    </row>
    <row r="14" spans="1:8" ht="28.8" x14ac:dyDescent="0.3">
      <c r="A14" s="68" t="s">
        <v>259</v>
      </c>
      <c r="B14" s="40" t="s">
        <v>412</v>
      </c>
      <c r="C14" s="33">
        <v>51845989</v>
      </c>
      <c r="D14" s="33" t="s">
        <v>10</v>
      </c>
      <c r="E14" s="60">
        <v>1</v>
      </c>
      <c r="F14" s="35">
        <v>13.74</v>
      </c>
      <c r="G14" s="35">
        <v>13.74</v>
      </c>
      <c r="H14" s="30">
        <f t="shared" si="0"/>
        <v>0</v>
      </c>
    </row>
    <row r="15" spans="1:8" x14ac:dyDescent="0.3">
      <c r="A15" s="78" t="s">
        <v>259</v>
      </c>
      <c r="B15" s="72" t="s">
        <v>279</v>
      </c>
      <c r="C15" s="10" t="s">
        <v>11</v>
      </c>
      <c r="D15" s="10" t="s">
        <v>6</v>
      </c>
      <c r="E15" s="11"/>
      <c r="F15" s="34">
        <v>3.496</v>
      </c>
      <c r="G15" s="81">
        <v>3.681</v>
      </c>
      <c r="H15" s="30">
        <f t="shared" si="0"/>
        <v>0.18500000000000005</v>
      </c>
    </row>
    <row r="16" spans="1:8" x14ac:dyDescent="0.3">
      <c r="A16" s="78"/>
      <c r="B16" s="72"/>
      <c r="C16" s="10" t="s">
        <v>12</v>
      </c>
      <c r="D16" s="10" t="s">
        <v>8</v>
      </c>
      <c r="E16" s="11"/>
      <c r="F16" s="34">
        <v>0.151</v>
      </c>
      <c r="G16" s="81">
        <v>0.16200000000000001</v>
      </c>
      <c r="H16" s="30">
        <f t="shared" si="0"/>
        <v>1.100000000000001E-2</v>
      </c>
    </row>
    <row r="17" spans="1:8" x14ac:dyDescent="0.3">
      <c r="A17" s="78"/>
      <c r="B17" s="72"/>
      <c r="C17" s="10" t="s">
        <v>271</v>
      </c>
      <c r="D17" s="10" t="s">
        <v>10</v>
      </c>
      <c r="E17" s="59">
        <v>1</v>
      </c>
      <c r="F17" s="34">
        <v>300.07</v>
      </c>
      <c r="G17" s="81">
        <v>359.63</v>
      </c>
      <c r="H17" s="30">
        <f t="shared" si="0"/>
        <v>59.56</v>
      </c>
    </row>
    <row r="18" spans="1:8" x14ac:dyDescent="0.3">
      <c r="A18" s="78" t="s">
        <v>259</v>
      </c>
      <c r="B18" s="72" t="s">
        <v>410</v>
      </c>
      <c r="C18" s="10">
        <v>11081526</v>
      </c>
      <c r="D18" s="10" t="s">
        <v>6</v>
      </c>
      <c r="E18" s="11"/>
      <c r="F18" s="34">
        <v>0.04</v>
      </c>
      <c r="G18" s="34">
        <v>0.04</v>
      </c>
      <c r="H18" s="30">
        <f t="shared" si="0"/>
        <v>0</v>
      </c>
    </row>
    <row r="19" spans="1:8" x14ac:dyDescent="0.3">
      <c r="A19" s="78"/>
      <c r="B19" s="72"/>
      <c r="C19" s="10">
        <v>11081527</v>
      </c>
      <c r="D19" s="10" t="s">
        <v>8</v>
      </c>
      <c r="E19" s="11"/>
      <c r="F19" s="34">
        <v>1.2999999999999999E-2</v>
      </c>
      <c r="G19" s="81">
        <v>4.016</v>
      </c>
      <c r="H19" s="30">
        <f t="shared" si="0"/>
        <v>4.0030000000000001</v>
      </c>
    </row>
    <row r="20" spans="1:8" x14ac:dyDescent="0.3">
      <c r="A20" s="78"/>
      <c r="B20" s="72"/>
      <c r="C20" s="10">
        <v>48028190</v>
      </c>
      <c r="D20" s="10" t="s">
        <v>10</v>
      </c>
      <c r="E20" s="59">
        <v>1</v>
      </c>
      <c r="F20" s="34">
        <v>0</v>
      </c>
      <c r="G20" s="81">
        <v>33.46</v>
      </c>
      <c r="H20" s="30">
        <f t="shared" si="0"/>
        <v>33.46</v>
      </c>
    </row>
    <row r="21" spans="1:8" x14ac:dyDescent="0.3">
      <c r="A21" s="78"/>
      <c r="B21" s="72"/>
      <c r="C21" s="10">
        <v>47946993</v>
      </c>
      <c r="D21" s="10" t="s">
        <v>10</v>
      </c>
      <c r="E21" s="59">
        <v>40</v>
      </c>
      <c r="F21" s="34">
        <v>0</v>
      </c>
      <c r="G21" s="81">
        <v>0.91</v>
      </c>
      <c r="H21" s="30">
        <f t="shared" si="0"/>
        <v>0.91</v>
      </c>
    </row>
    <row r="22" spans="1:8" x14ac:dyDescent="0.3">
      <c r="A22" s="78" t="s">
        <v>259</v>
      </c>
      <c r="B22" s="72" t="s">
        <v>280</v>
      </c>
      <c r="C22" s="10" t="s">
        <v>13</v>
      </c>
      <c r="D22" s="10" t="s">
        <v>6</v>
      </c>
      <c r="E22" s="11"/>
      <c r="F22" s="34">
        <v>9.234</v>
      </c>
      <c r="G22" s="81">
        <v>10.920999999999999</v>
      </c>
      <c r="H22" s="30">
        <f t="shared" si="0"/>
        <v>1.6869999999999994</v>
      </c>
    </row>
    <row r="23" spans="1:8" x14ac:dyDescent="0.3">
      <c r="A23" s="78"/>
      <c r="B23" s="78"/>
      <c r="C23" s="10" t="s">
        <v>14</v>
      </c>
      <c r="D23" s="10" t="s">
        <v>8</v>
      </c>
      <c r="E23" s="11"/>
      <c r="F23" s="34">
        <v>3.2000000000000001E-2</v>
      </c>
      <c r="G23" s="81">
        <v>3.2000000000000001E-2</v>
      </c>
      <c r="H23" s="30">
        <f t="shared" si="0"/>
        <v>0</v>
      </c>
    </row>
    <row r="24" spans="1:8" x14ac:dyDescent="0.3">
      <c r="A24" s="78"/>
      <c r="B24" s="78"/>
      <c r="C24" s="10" t="s">
        <v>15</v>
      </c>
      <c r="D24" s="10" t="s">
        <v>10</v>
      </c>
      <c r="E24" s="59">
        <v>50</v>
      </c>
      <c r="F24" s="34">
        <v>9.0299999999999994</v>
      </c>
      <c r="G24" s="81">
        <v>10.91</v>
      </c>
      <c r="H24" s="30">
        <f t="shared" si="0"/>
        <v>1.8800000000000008</v>
      </c>
    </row>
    <row r="25" spans="1:8" x14ac:dyDescent="0.3">
      <c r="A25" s="78" t="s">
        <v>259</v>
      </c>
      <c r="B25" s="72" t="s">
        <v>281</v>
      </c>
      <c r="C25" s="10" t="s">
        <v>16</v>
      </c>
      <c r="D25" s="10" t="s">
        <v>6</v>
      </c>
      <c r="E25" s="11"/>
      <c r="F25" s="34">
        <v>1.34</v>
      </c>
      <c r="G25" s="81">
        <v>1.34</v>
      </c>
      <c r="H25" s="30">
        <f t="shared" si="0"/>
        <v>0</v>
      </c>
    </row>
    <row r="26" spans="1:8" x14ac:dyDescent="0.3">
      <c r="A26" s="78"/>
      <c r="B26" s="78"/>
      <c r="C26" s="10" t="s">
        <v>17</v>
      </c>
      <c r="D26" s="10" t="s">
        <v>8</v>
      </c>
      <c r="E26" s="11"/>
      <c r="F26" s="34">
        <v>0.41899999999999998</v>
      </c>
      <c r="G26" s="34">
        <v>0.41899999999999998</v>
      </c>
      <c r="H26" s="30">
        <f t="shared" si="0"/>
        <v>0</v>
      </c>
    </row>
    <row r="27" spans="1:8" x14ac:dyDescent="0.3">
      <c r="A27" s="78"/>
      <c r="B27" s="78"/>
      <c r="C27" s="10" t="s">
        <v>18</v>
      </c>
      <c r="D27" s="10" t="s">
        <v>10</v>
      </c>
      <c r="E27" s="59">
        <v>1</v>
      </c>
      <c r="F27" s="34">
        <v>107.82</v>
      </c>
      <c r="G27" s="81">
        <v>107.82</v>
      </c>
      <c r="H27" s="30">
        <f t="shared" si="0"/>
        <v>0</v>
      </c>
    </row>
    <row r="28" spans="1:8" ht="28.8" x14ac:dyDescent="0.3">
      <c r="A28" s="17" t="s">
        <v>259</v>
      </c>
      <c r="B28" s="12" t="s">
        <v>282</v>
      </c>
      <c r="C28" s="10" t="s">
        <v>19</v>
      </c>
      <c r="D28" s="10" t="s">
        <v>10</v>
      </c>
      <c r="E28" s="59">
        <v>1</v>
      </c>
      <c r="F28" s="34">
        <v>569.20000000000005</v>
      </c>
      <c r="G28" s="81">
        <v>569.20000000000005</v>
      </c>
      <c r="H28" s="30">
        <f t="shared" si="0"/>
        <v>0</v>
      </c>
    </row>
    <row r="29" spans="1:8" x14ac:dyDescent="0.3">
      <c r="A29" s="78" t="s">
        <v>259</v>
      </c>
      <c r="B29" s="72" t="s">
        <v>283</v>
      </c>
      <c r="C29" s="10" t="s">
        <v>20</v>
      </c>
      <c r="D29" s="10" t="s">
        <v>6</v>
      </c>
      <c r="E29" s="11"/>
      <c r="F29" s="34">
        <v>0.377</v>
      </c>
      <c r="G29" s="34">
        <v>0.377</v>
      </c>
      <c r="H29" s="30">
        <f t="shared" si="0"/>
        <v>0</v>
      </c>
    </row>
    <row r="30" spans="1:8" x14ac:dyDescent="0.3">
      <c r="A30" s="78"/>
      <c r="B30" s="78"/>
      <c r="C30" s="10" t="s">
        <v>21</v>
      </c>
      <c r="D30" s="10" t="s">
        <v>8</v>
      </c>
      <c r="E30" s="11"/>
      <c r="F30" s="34">
        <v>3.1E-2</v>
      </c>
      <c r="G30" s="34">
        <v>3.1E-2</v>
      </c>
      <c r="H30" s="30">
        <f t="shared" si="0"/>
        <v>0</v>
      </c>
    </row>
    <row r="31" spans="1:8" x14ac:dyDescent="0.3">
      <c r="A31" s="78"/>
      <c r="B31" s="78"/>
      <c r="C31" s="10" t="s">
        <v>22</v>
      </c>
      <c r="D31" s="10" t="s">
        <v>10</v>
      </c>
      <c r="E31" s="59">
        <v>1</v>
      </c>
      <c r="F31" s="34">
        <v>9.16</v>
      </c>
      <c r="G31" s="81">
        <v>19.07</v>
      </c>
      <c r="H31" s="30">
        <f t="shared" si="0"/>
        <v>9.91</v>
      </c>
    </row>
    <row r="32" spans="1:8" x14ac:dyDescent="0.3">
      <c r="A32" s="71" t="s">
        <v>23</v>
      </c>
      <c r="B32" s="71" t="s">
        <v>284</v>
      </c>
      <c r="C32" s="4">
        <v>11573565</v>
      </c>
      <c r="D32" s="4" t="s">
        <v>6</v>
      </c>
      <c r="E32" s="6"/>
      <c r="F32" s="30">
        <v>0</v>
      </c>
      <c r="G32" s="35">
        <v>0</v>
      </c>
      <c r="H32" s="30">
        <f t="shared" si="0"/>
        <v>0</v>
      </c>
    </row>
    <row r="33" spans="1:8" x14ac:dyDescent="0.3">
      <c r="A33" s="71"/>
      <c r="B33" s="71"/>
      <c r="C33" s="4" t="s">
        <v>24</v>
      </c>
      <c r="D33" s="4" t="s">
        <v>8</v>
      </c>
      <c r="E33" s="6"/>
      <c r="F33" s="30">
        <v>1.6E-2</v>
      </c>
      <c r="G33" s="35">
        <v>1.6E-2</v>
      </c>
      <c r="H33" s="30">
        <f t="shared" si="0"/>
        <v>0</v>
      </c>
    </row>
    <row r="34" spans="1:8" x14ac:dyDescent="0.3">
      <c r="A34" s="71"/>
      <c r="B34" s="71"/>
      <c r="C34" s="4" t="s">
        <v>25</v>
      </c>
      <c r="D34" s="4" t="s">
        <v>10</v>
      </c>
      <c r="E34" s="45">
        <v>1</v>
      </c>
      <c r="F34" s="30">
        <v>0.33</v>
      </c>
      <c r="G34" s="35">
        <v>0.33</v>
      </c>
      <c r="H34" s="30">
        <f t="shared" si="0"/>
        <v>0</v>
      </c>
    </row>
    <row r="35" spans="1:8" x14ac:dyDescent="0.3">
      <c r="A35" s="72" t="s">
        <v>26</v>
      </c>
      <c r="B35" s="72" t="s">
        <v>285</v>
      </c>
      <c r="C35" s="10" t="s">
        <v>27</v>
      </c>
      <c r="D35" s="10" t="s">
        <v>6</v>
      </c>
      <c r="E35" s="11"/>
      <c r="F35" s="34">
        <v>1.33</v>
      </c>
      <c r="G35" s="81">
        <v>2.577</v>
      </c>
      <c r="H35" s="30">
        <f t="shared" si="0"/>
        <v>1.2469999999999999</v>
      </c>
    </row>
    <row r="36" spans="1:8" x14ac:dyDescent="0.3">
      <c r="A36" s="72"/>
      <c r="B36" s="72"/>
      <c r="C36" s="10" t="s">
        <v>28</v>
      </c>
      <c r="D36" s="10" t="s">
        <v>8</v>
      </c>
      <c r="E36" s="11"/>
      <c r="F36" s="34">
        <v>0.17399999999999999</v>
      </c>
      <c r="G36" s="34">
        <v>0.17399999999999999</v>
      </c>
      <c r="H36" s="30">
        <f t="shared" si="0"/>
        <v>0</v>
      </c>
    </row>
    <row r="37" spans="1:8" x14ac:dyDescent="0.3">
      <c r="A37" s="72"/>
      <c r="B37" s="72"/>
      <c r="C37" s="10" t="s">
        <v>29</v>
      </c>
      <c r="D37" s="10" t="s">
        <v>10</v>
      </c>
      <c r="E37" s="59">
        <v>1</v>
      </c>
      <c r="F37" s="34">
        <v>24.78</v>
      </c>
      <c r="G37" s="81">
        <v>92.67</v>
      </c>
      <c r="H37" s="30">
        <f t="shared" si="0"/>
        <v>67.89</v>
      </c>
    </row>
    <row r="38" spans="1:8" x14ac:dyDescent="0.3">
      <c r="A38" s="71" t="s">
        <v>30</v>
      </c>
      <c r="B38" s="71" t="s">
        <v>286</v>
      </c>
      <c r="C38" s="80" t="s">
        <v>31</v>
      </c>
      <c r="D38" s="4" t="s">
        <v>6</v>
      </c>
      <c r="E38" s="6"/>
      <c r="F38" s="35">
        <v>3.9E-2</v>
      </c>
      <c r="G38" s="35">
        <v>3.9E-2</v>
      </c>
      <c r="H38" s="30">
        <f t="shared" si="0"/>
        <v>0</v>
      </c>
    </row>
    <row r="39" spans="1:8" x14ac:dyDescent="0.3">
      <c r="A39" s="71"/>
      <c r="B39" s="71"/>
      <c r="C39" s="80" t="s">
        <v>32</v>
      </c>
      <c r="D39" s="4" t="s">
        <v>8</v>
      </c>
      <c r="E39" s="6"/>
      <c r="F39" s="35">
        <v>0.39800000000000002</v>
      </c>
      <c r="G39" s="35">
        <v>0.39800000000000002</v>
      </c>
      <c r="H39" s="30">
        <f t="shared" si="0"/>
        <v>0</v>
      </c>
    </row>
    <row r="40" spans="1:8" x14ac:dyDescent="0.3">
      <c r="A40" s="71"/>
      <c r="B40" s="71"/>
      <c r="C40" s="4" t="s">
        <v>33</v>
      </c>
      <c r="D40" s="4" t="s">
        <v>10</v>
      </c>
      <c r="E40" s="45">
        <v>1</v>
      </c>
      <c r="F40" s="30">
        <v>2818.89</v>
      </c>
      <c r="G40" s="35">
        <v>2818.89</v>
      </c>
      <c r="H40" s="30">
        <f t="shared" si="0"/>
        <v>0</v>
      </c>
    </row>
    <row r="41" spans="1:8" x14ac:dyDescent="0.3">
      <c r="A41" s="71" t="s">
        <v>34</v>
      </c>
      <c r="B41" s="71" t="s">
        <v>287</v>
      </c>
      <c r="C41" s="4" t="s">
        <v>35</v>
      </c>
      <c r="D41" s="4" t="s">
        <v>6</v>
      </c>
      <c r="E41" s="6"/>
      <c r="F41" s="35">
        <v>0.108</v>
      </c>
      <c r="G41" s="35">
        <v>0.108</v>
      </c>
      <c r="H41" s="30">
        <f t="shared" si="0"/>
        <v>0</v>
      </c>
    </row>
    <row r="42" spans="1:8" x14ac:dyDescent="0.3">
      <c r="A42" s="71"/>
      <c r="B42" s="71"/>
      <c r="C42" s="4" t="s">
        <v>36</v>
      </c>
      <c r="D42" s="4" t="s">
        <v>8</v>
      </c>
      <c r="E42" s="6"/>
      <c r="F42" s="30">
        <v>0.01</v>
      </c>
      <c r="G42" s="35">
        <v>0.01</v>
      </c>
      <c r="H42" s="30">
        <f t="shared" si="0"/>
        <v>0</v>
      </c>
    </row>
    <row r="43" spans="1:8" x14ac:dyDescent="0.3">
      <c r="A43" s="71"/>
      <c r="B43" s="71"/>
      <c r="C43" s="4" t="s">
        <v>37</v>
      </c>
      <c r="D43" s="4" t="s">
        <v>10</v>
      </c>
      <c r="E43" s="45">
        <v>1</v>
      </c>
      <c r="F43" s="30">
        <v>0.78</v>
      </c>
      <c r="G43" s="35">
        <v>0.78</v>
      </c>
      <c r="H43" s="30">
        <f t="shared" si="0"/>
        <v>0</v>
      </c>
    </row>
    <row r="44" spans="1:8" x14ac:dyDescent="0.3">
      <c r="A44" s="71" t="s">
        <v>38</v>
      </c>
      <c r="B44" s="71" t="s">
        <v>288</v>
      </c>
      <c r="C44" s="4" t="s">
        <v>39</v>
      </c>
      <c r="D44" s="4" t="s">
        <v>6</v>
      </c>
      <c r="E44" s="6"/>
      <c r="F44" s="30">
        <v>8.9999999999999993E-3</v>
      </c>
      <c r="G44" s="35">
        <v>8.9999999999999993E-3</v>
      </c>
      <c r="H44" s="30">
        <f t="shared" si="0"/>
        <v>0</v>
      </c>
    </row>
    <row r="45" spans="1:8" x14ac:dyDescent="0.3">
      <c r="A45" s="71"/>
      <c r="B45" s="71"/>
      <c r="C45" s="4" t="s">
        <v>40</v>
      </c>
      <c r="D45" s="4" t="s">
        <v>8</v>
      </c>
      <c r="E45" s="6"/>
      <c r="F45" s="30">
        <v>8.0000000000000002E-3</v>
      </c>
      <c r="G45" s="35">
        <v>8.0000000000000002E-3</v>
      </c>
      <c r="H45" s="30">
        <f t="shared" si="0"/>
        <v>0</v>
      </c>
    </row>
    <row r="46" spans="1:8" x14ac:dyDescent="0.3">
      <c r="A46" s="71"/>
      <c r="B46" s="71"/>
      <c r="C46" s="4">
        <v>40821843</v>
      </c>
      <c r="D46" s="4" t="s">
        <v>10</v>
      </c>
      <c r="E46" s="45">
        <v>16</v>
      </c>
      <c r="F46" s="30">
        <v>0.67</v>
      </c>
      <c r="G46" s="35">
        <v>0.67</v>
      </c>
      <c r="H46" s="30">
        <f t="shared" si="0"/>
        <v>0</v>
      </c>
    </row>
    <row r="47" spans="1:8" ht="14.4" customHeight="1" x14ac:dyDescent="0.3">
      <c r="A47" s="75" t="s">
        <v>387</v>
      </c>
      <c r="B47" s="75" t="s">
        <v>388</v>
      </c>
      <c r="C47" s="4" t="s">
        <v>42</v>
      </c>
      <c r="D47" s="4" t="s">
        <v>6</v>
      </c>
      <c r="E47" s="6"/>
      <c r="F47" s="30">
        <v>38.22</v>
      </c>
      <c r="G47" s="30">
        <v>38.22</v>
      </c>
      <c r="H47" s="30">
        <f t="shared" si="0"/>
        <v>0</v>
      </c>
    </row>
    <row r="48" spans="1:8" x14ac:dyDescent="0.3">
      <c r="A48" s="76"/>
      <c r="B48" s="76"/>
      <c r="C48" s="4" t="s">
        <v>368</v>
      </c>
      <c r="D48" s="4" t="s">
        <v>8</v>
      </c>
      <c r="E48" s="6"/>
      <c r="F48" s="30">
        <v>7.6999999999999999E-2</v>
      </c>
      <c r="G48" s="30">
        <v>7.6999999999999999E-2</v>
      </c>
      <c r="H48" s="30">
        <f t="shared" si="0"/>
        <v>0</v>
      </c>
    </row>
    <row r="49" spans="1:8" x14ac:dyDescent="0.3">
      <c r="A49" s="77"/>
      <c r="B49" s="77"/>
      <c r="C49" s="4">
        <v>48021837</v>
      </c>
      <c r="D49" s="4" t="s">
        <v>10</v>
      </c>
      <c r="E49" s="45">
        <v>1</v>
      </c>
      <c r="F49" s="35">
        <v>1.73</v>
      </c>
      <c r="G49" s="35">
        <v>1.73</v>
      </c>
      <c r="H49" s="30">
        <f t="shared" si="0"/>
        <v>0</v>
      </c>
    </row>
    <row r="50" spans="1:8" x14ac:dyDescent="0.3">
      <c r="A50" s="71" t="s">
        <v>41</v>
      </c>
      <c r="B50" s="71" t="s">
        <v>289</v>
      </c>
      <c r="C50" s="4" t="s">
        <v>272</v>
      </c>
      <c r="D50" s="4" t="s">
        <v>6</v>
      </c>
      <c r="E50" s="6"/>
      <c r="F50" s="30">
        <v>4.0000000000000001E-3</v>
      </c>
      <c r="G50" s="35">
        <v>4.0000000000000001E-3</v>
      </c>
      <c r="H50" s="30">
        <f t="shared" si="0"/>
        <v>0</v>
      </c>
    </row>
    <row r="51" spans="1:8" x14ac:dyDescent="0.3">
      <c r="A51" s="71"/>
      <c r="B51" s="71"/>
      <c r="C51" s="4" t="s">
        <v>273</v>
      </c>
      <c r="D51" s="4" t="s">
        <v>8</v>
      </c>
      <c r="E51" s="6"/>
      <c r="F51" s="30">
        <v>8.0000000000000002E-3</v>
      </c>
      <c r="G51" s="35">
        <v>8.0000000000000002E-3</v>
      </c>
      <c r="H51" s="30">
        <f t="shared" si="0"/>
        <v>0</v>
      </c>
    </row>
    <row r="52" spans="1:8" x14ac:dyDescent="0.3">
      <c r="A52" s="71"/>
      <c r="B52" s="71"/>
      <c r="C52" s="4">
        <v>48021878</v>
      </c>
      <c r="D52" s="4" t="s">
        <v>10</v>
      </c>
      <c r="E52" s="45">
        <v>16</v>
      </c>
      <c r="F52" s="30">
        <v>1.21</v>
      </c>
      <c r="G52" s="30">
        <v>1.21</v>
      </c>
      <c r="H52" s="30">
        <f t="shared" si="0"/>
        <v>0</v>
      </c>
    </row>
    <row r="53" spans="1:8" x14ac:dyDescent="0.3">
      <c r="A53" s="72" t="s">
        <v>43</v>
      </c>
      <c r="B53" s="72" t="s">
        <v>290</v>
      </c>
      <c r="C53" s="10">
        <v>11039489</v>
      </c>
      <c r="D53" s="10" t="s">
        <v>6</v>
      </c>
      <c r="E53" s="11"/>
      <c r="F53" s="34">
        <v>0.224</v>
      </c>
      <c r="G53" s="81">
        <v>6.28</v>
      </c>
      <c r="H53" s="30">
        <f t="shared" si="0"/>
        <v>6.056</v>
      </c>
    </row>
    <row r="54" spans="1:8" x14ac:dyDescent="0.3">
      <c r="A54" s="72"/>
      <c r="B54" s="72"/>
      <c r="C54" s="10">
        <v>11043830</v>
      </c>
      <c r="D54" s="10" t="s">
        <v>8</v>
      </c>
      <c r="E54" s="11"/>
      <c r="F54" s="34">
        <v>4.5999999999999999E-2</v>
      </c>
      <c r="G54" s="81">
        <v>0.46</v>
      </c>
      <c r="H54" s="30">
        <f t="shared" si="0"/>
        <v>0.41400000000000003</v>
      </c>
    </row>
    <row r="55" spans="1:8" x14ac:dyDescent="0.3">
      <c r="A55" s="72"/>
      <c r="B55" s="72"/>
      <c r="C55" s="10">
        <v>48028483</v>
      </c>
      <c r="D55" s="10" t="s">
        <v>10</v>
      </c>
      <c r="E55" s="59">
        <v>1</v>
      </c>
      <c r="F55" s="34">
        <v>15.02</v>
      </c>
      <c r="G55" s="81">
        <v>211.09</v>
      </c>
      <c r="H55" s="30">
        <f t="shared" si="0"/>
        <v>196.07</v>
      </c>
    </row>
    <row r="56" spans="1:8" x14ac:dyDescent="0.3">
      <c r="A56" s="71" t="s">
        <v>394</v>
      </c>
      <c r="B56" s="71" t="s">
        <v>393</v>
      </c>
      <c r="C56" s="4">
        <v>11039677</v>
      </c>
      <c r="D56" s="4" t="s">
        <v>6</v>
      </c>
      <c r="E56" s="6"/>
      <c r="F56" s="35">
        <v>4.3999999999999997E-2</v>
      </c>
      <c r="G56" s="35">
        <v>4.3999999999999997E-2</v>
      </c>
      <c r="H56" s="30">
        <f t="shared" si="0"/>
        <v>0</v>
      </c>
    </row>
    <row r="57" spans="1:8" x14ac:dyDescent="0.3">
      <c r="A57" s="71"/>
      <c r="B57" s="71"/>
      <c r="C57" s="4">
        <v>11039686</v>
      </c>
      <c r="D57" s="4" t="s">
        <v>8</v>
      </c>
      <c r="E57" s="6"/>
      <c r="F57" s="35">
        <v>1.6E-2</v>
      </c>
      <c r="G57" s="35">
        <v>1.6E-2</v>
      </c>
      <c r="H57" s="30">
        <f t="shared" si="0"/>
        <v>0</v>
      </c>
    </row>
    <row r="58" spans="1:8" x14ac:dyDescent="0.3">
      <c r="A58" s="71"/>
      <c r="B58" s="71"/>
      <c r="C58" s="4">
        <v>47944034</v>
      </c>
      <c r="D58" s="4" t="s">
        <v>10</v>
      </c>
      <c r="E58" s="45">
        <v>1</v>
      </c>
      <c r="F58" s="35">
        <v>3.02</v>
      </c>
      <c r="G58" s="35">
        <v>3.02</v>
      </c>
      <c r="H58" s="30">
        <f t="shared" si="0"/>
        <v>0</v>
      </c>
    </row>
    <row r="59" spans="1:8" x14ac:dyDescent="0.3">
      <c r="A59" s="71" t="s">
        <v>44</v>
      </c>
      <c r="B59" s="71" t="s">
        <v>291</v>
      </c>
      <c r="C59" s="4">
        <v>11081562</v>
      </c>
      <c r="D59" s="4" t="s">
        <v>6</v>
      </c>
      <c r="E59" s="6"/>
      <c r="F59" s="30">
        <v>0.01</v>
      </c>
      <c r="G59" s="35">
        <v>0.01</v>
      </c>
      <c r="H59" s="30">
        <f t="shared" si="0"/>
        <v>0</v>
      </c>
    </row>
    <row r="60" spans="1:8" x14ac:dyDescent="0.3">
      <c r="A60" s="71"/>
      <c r="B60" s="71"/>
      <c r="C60" s="4">
        <v>11039709</v>
      </c>
      <c r="D60" s="4" t="s">
        <v>8</v>
      </c>
      <c r="E60" s="6"/>
      <c r="F60" s="30">
        <v>0.01</v>
      </c>
      <c r="G60" s="35">
        <v>0.01</v>
      </c>
      <c r="H60" s="30">
        <f t="shared" si="0"/>
        <v>0</v>
      </c>
    </row>
    <row r="61" spans="1:8" x14ac:dyDescent="0.3">
      <c r="A61" s="71"/>
      <c r="B61" s="71"/>
      <c r="C61" s="4">
        <v>48028578</v>
      </c>
      <c r="D61" s="4" t="s">
        <v>10</v>
      </c>
      <c r="E61" s="45">
        <v>1</v>
      </c>
      <c r="F61" s="35">
        <v>1.27</v>
      </c>
      <c r="G61" s="35">
        <v>1.27</v>
      </c>
      <c r="H61" s="30">
        <f t="shared" si="0"/>
        <v>0</v>
      </c>
    </row>
    <row r="62" spans="1:8" x14ac:dyDescent="0.3">
      <c r="A62" s="72" t="s">
        <v>401</v>
      </c>
      <c r="B62" s="72" t="s">
        <v>403</v>
      </c>
      <c r="C62" s="10">
        <v>10970954</v>
      </c>
      <c r="D62" s="10" t="s">
        <v>6</v>
      </c>
      <c r="E62" s="11"/>
      <c r="F62" s="34">
        <v>8.9999999999999993E-3</v>
      </c>
      <c r="G62" s="81">
        <v>3.109</v>
      </c>
      <c r="H62" s="30">
        <f t="shared" si="0"/>
        <v>3.1</v>
      </c>
    </row>
    <row r="63" spans="1:8" x14ac:dyDescent="0.3">
      <c r="A63" s="72"/>
      <c r="B63" s="72"/>
      <c r="C63" s="10">
        <v>10972469</v>
      </c>
      <c r="D63" s="10" t="s">
        <v>8</v>
      </c>
      <c r="E63" s="11"/>
      <c r="F63" s="34">
        <v>1.2E-2</v>
      </c>
      <c r="G63" s="81">
        <v>2.5999999999999999E-2</v>
      </c>
      <c r="H63" s="30">
        <f t="shared" si="0"/>
        <v>1.3999999999999999E-2</v>
      </c>
    </row>
    <row r="64" spans="1:8" x14ac:dyDescent="0.3">
      <c r="A64" s="72"/>
      <c r="B64" s="72"/>
      <c r="C64" s="10">
        <v>47770778</v>
      </c>
      <c r="D64" s="10" t="s">
        <v>10</v>
      </c>
      <c r="E64" s="59">
        <v>1</v>
      </c>
      <c r="F64" s="34">
        <v>0.7</v>
      </c>
      <c r="G64" s="81">
        <v>477.72</v>
      </c>
      <c r="H64" s="30">
        <f t="shared" si="0"/>
        <v>477.02000000000004</v>
      </c>
    </row>
    <row r="65" spans="1:8" x14ac:dyDescent="0.3">
      <c r="A65" s="71" t="s">
        <v>45</v>
      </c>
      <c r="B65" s="71" t="s">
        <v>292</v>
      </c>
      <c r="C65" s="4">
        <v>10966621</v>
      </c>
      <c r="D65" s="4" t="s">
        <v>6</v>
      </c>
      <c r="E65" s="6"/>
      <c r="F65" s="30">
        <v>0.17</v>
      </c>
      <c r="G65" s="35">
        <v>0.17</v>
      </c>
      <c r="H65" s="30">
        <f t="shared" si="0"/>
        <v>0</v>
      </c>
    </row>
    <row r="66" spans="1:8" x14ac:dyDescent="0.3">
      <c r="A66" s="71"/>
      <c r="B66" s="71"/>
      <c r="C66" s="4">
        <v>10972533</v>
      </c>
      <c r="D66" s="4" t="s">
        <v>8</v>
      </c>
      <c r="E66" s="6"/>
      <c r="F66" s="30">
        <v>0.4</v>
      </c>
      <c r="G66" s="35">
        <v>0.4</v>
      </c>
      <c r="H66" s="30">
        <f t="shared" ref="H66:H129" si="1">G66-F66</f>
        <v>0</v>
      </c>
    </row>
    <row r="67" spans="1:8" x14ac:dyDescent="0.3">
      <c r="A67" s="71"/>
      <c r="B67" s="71"/>
      <c r="C67" s="4">
        <v>48028009</v>
      </c>
      <c r="D67" s="4" t="s">
        <v>10</v>
      </c>
      <c r="E67" s="45">
        <v>1</v>
      </c>
      <c r="F67" s="35">
        <v>2.85</v>
      </c>
      <c r="G67" s="35">
        <v>2.85</v>
      </c>
      <c r="H67" s="30">
        <f t="shared" si="1"/>
        <v>0</v>
      </c>
    </row>
    <row r="68" spans="1:8" x14ac:dyDescent="0.3">
      <c r="A68" s="71" t="s">
        <v>46</v>
      </c>
      <c r="B68" s="71" t="s">
        <v>293</v>
      </c>
      <c r="C68" s="4">
        <v>10967350</v>
      </c>
      <c r="D68" s="4" t="s">
        <v>6</v>
      </c>
      <c r="E68" s="6"/>
      <c r="F68" s="30">
        <v>0.21</v>
      </c>
      <c r="G68" s="35">
        <v>0.21</v>
      </c>
      <c r="H68" s="30">
        <f t="shared" si="1"/>
        <v>0</v>
      </c>
    </row>
    <row r="69" spans="1:8" x14ac:dyDescent="0.3">
      <c r="A69" s="71"/>
      <c r="B69" s="71"/>
      <c r="C69" s="4">
        <v>10968464</v>
      </c>
      <c r="D69" s="4" t="s">
        <v>8</v>
      </c>
      <c r="E69" s="6"/>
      <c r="F69" s="30">
        <v>0.23</v>
      </c>
      <c r="G69" s="35">
        <v>0.23</v>
      </c>
      <c r="H69" s="30">
        <f t="shared" si="1"/>
        <v>0</v>
      </c>
    </row>
    <row r="70" spans="1:8" x14ac:dyDescent="0.3">
      <c r="A70" s="71"/>
      <c r="B70" s="71"/>
      <c r="C70" s="4">
        <v>48027985</v>
      </c>
      <c r="D70" s="4" t="s">
        <v>10</v>
      </c>
      <c r="E70" s="45">
        <v>1</v>
      </c>
      <c r="F70" s="35">
        <v>2.4900000000000002</v>
      </c>
      <c r="G70" s="35">
        <v>2.4900000000000002</v>
      </c>
      <c r="H70" s="30">
        <f t="shared" si="1"/>
        <v>0</v>
      </c>
    </row>
    <row r="71" spans="1:8" x14ac:dyDescent="0.3">
      <c r="A71" s="71" t="s">
        <v>47</v>
      </c>
      <c r="B71" s="71" t="s">
        <v>294</v>
      </c>
      <c r="C71" s="4">
        <v>11466468</v>
      </c>
      <c r="D71" s="4" t="s">
        <v>6</v>
      </c>
      <c r="E71" s="6"/>
      <c r="F71" s="30">
        <v>0.01</v>
      </c>
      <c r="G71" s="35">
        <v>0.01</v>
      </c>
      <c r="H71" s="30">
        <f t="shared" si="1"/>
        <v>0</v>
      </c>
    </row>
    <row r="72" spans="1:8" x14ac:dyDescent="0.3">
      <c r="A72" s="71"/>
      <c r="B72" s="71"/>
      <c r="C72" s="4">
        <v>11466533</v>
      </c>
      <c r="D72" s="4" t="s">
        <v>8</v>
      </c>
      <c r="E72" s="6"/>
      <c r="F72" s="30">
        <v>1.4999999999999999E-2</v>
      </c>
      <c r="G72" s="35">
        <v>1.4999999999999999E-2</v>
      </c>
      <c r="H72" s="30">
        <f t="shared" si="1"/>
        <v>0</v>
      </c>
    </row>
    <row r="73" spans="1:8" x14ac:dyDescent="0.3">
      <c r="A73" s="71"/>
      <c r="B73" s="71"/>
      <c r="C73" s="4">
        <v>47132930</v>
      </c>
      <c r="D73" s="4" t="s">
        <v>10</v>
      </c>
      <c r="E73" s="45">
        <v>1</v>
      </c>
      <c r="F73" s="35">
        <v>3.24</v>
      </c>
      <c r="G73" s="35">
        <v>3.24</v>
      </c>
      <c r="H73" s="30">
        <f t="shared" si="1"/>
        <v>0</v>
      </c>
    </row>
    <row r="74" spans="1:8" x14ac:dyDescent="0.3">
      <c r="A74" s="71" t="s">
        <v>48</v>
      </c>
      <c r="B74" s="71" t="s">
        <v>295</v>
      </c>
      <c r="C74" s="4">
        <v>11467006</v>
      </c>
      <c r="D74" s="4" t="s">
        <v>6</v>
      </c>
      <c r="E74" s="6"/>
      <c r="F74" s="30">
        <v>0.55400000000000005</v>
      </c>
      <c r="G74" s="35">
        <v>0.55400000000000005</v>
      </c>
      <c r="H74" s="30">
        <f t="shared" si="1"/>
        <v>0</v>
      </c>
    </row>
    <row r="75" spans="1:8" x14ac:dyDescent="0.3">
      <c r="A75" s="71"/>
      <c r="B75" s="71"/>
      <c r="C75" s="4">
        <v>11081566</v>
      </c>
      <c r="D75" s="4" t="s">
        <v>8</v>
      </c>
      <c r="E75" s="6"/>
      <c r="F75" s="30">
        <v>0.03</v>
      </c>
      <c r="G75" s="35">
        <v>0.03</v>
      </c>
      <c r="H75" s="30">
        <f t="shared" si="1"/>
        <v>0</v>
      </c>
    </row>
    <row r="76" spans="1:8" x14ac:dyDescent="0.3">
      <c r="A76" s="71"/>
      <c r="B76" s="71"/>
      <c r="C76" s="4">
        <v>47340969</v>
      </c>
      <c r="D76" s="4" t="s">
        <v>10</v>
      </c>
      <c r="E76" s="45">
        <v>1</v>
      </c>
      <c r="F76" s="30">
        <v>1.03</v>
      </c>
      <c r="G76" s="35">
        <v>1.03</v>
      </c>
      <c r="H76" s="30">
        <f t="shared" si="1"/>
        <v>0</v>
      </c>
    </row>
    <row r="77" spans="1:8" x14ac:dyDescent="0.3">
      <c r="A77" s="71" t="s">
        <v>49</v>
      </c>
      <c r="B77" s="71" t="s">
        <v>296</v>
      </c>
      <c r="C77" s="4">
        <v>10968110</v>
      </c>
      <c r="D77" s="4" t="s">
        <v>6</v>
      </c>
      <c r="E77" s="6"/>
      <c r="F77" s="30">
        <v>0.18</v>
      </c>
      <c r="G77" s="35">
        <v>0.18</v>
      </c>
      <c r="H77" s="30">
        <f t="shared" si="1"/>
        <v>0</v>
      </c>
    </row>
    <row r="78" spans="1:8" x14ac:dyDescent="0.3">
      <c r="A78" s="71"/>
      <c r="B78" s="71"/>
      <c r="C78" s="4">
        <v>10968587</v>
      </c>
      <c r="D78" s="4" t="s">
        <v>8</v>
      </c>
      <c r="E78" s="6"/>
      <c r="F78" s="30">
        <v>0.06</v>
      </c>
      <c r="G78" s="35">
        <v>0.06</v>
      </c>
      <c r="H78" s="30">
        <f t="shared" si="1"/>
        <v>0</v>
      </c>
    </row>
    <row r="79" spans="1:8" x14ac:dyDescent="0.3">
      <c r="A79" s="71"/>
      <c r="B79" s="71"/>
      <c r="C79" s="4">
        <v>47314616</v>
      </c>
      <c r="D79" s="4" t="s">
        <v>10</v>
      </c>
      <c r="E79" s="45">
        <v>1</v>
      </c>
      <c r="F79" s="30">
        <v>1.1000000000000001</v>
      </c>
      <c r="G79" s="35">
        <v>1.1000000000000001</v>
      </c>
      <c r="H79" s="30">
        <f t="shared" si="1"/>
        <v>0</v>
      </c>
    </row>
    <row r="80" spans="1:8" x14ac:dyDescent="0.3">
      <c r="A80" s="71" t="s">
        <v>50</v>
      </c>
      <c r="B80" s="71" t="s">
        <v>297</v>
      </c>
      <c r="C80" s="4">
        <v>11466755</v>
      </c>
      <c r="D80" s="4" t="s">
        <v>6</v>
      </c>
      <c r="E80" s="6"/>
      <c r="F80" s="30">
        <v>0.69</v>
      </c>
      <c r="G80" s="35">
        <v>0.69</v>
      </c>
      <c r="H80" s="30">
        <f t="shared" si="1"/>
        <v>0</v>
      </c>
    </row>
    <row r="81" spans="1:8" x14ac:dyDescent="0.3">
      <c r="A81" s="71"/>
      <c r="B81" s="71"/>
      <c r="C81" s="4">
        <v>11466680</v>
      </c>
      <c r="D81" s="4" t="s">
        <v>8</v>
      </c>
      <c r="E81" s="6"/>
      <c r="F81" s="30">
        <v>5.8999999999999997E-2</v>
      </c>
      <c r="G81" s="35">
        <v>5.8999999999999997E-2</v>
      </c>
      <c r="H81" s="30">
        <f t="shared" si="1"/>
        <v>0</v>
      </c>
    </row>
    <row r="82" spans="1:8" x14ac:dyDescent="0.3">
      <c r="A82" s="71"/>
      <c r="B82" s="71"/>
      <c r="C82" s="4">
        <v>47314696</v>
      </c>
      <c r="D82" s="4" t="s">
        <v>10</v>
      </c>
      <c r="E82" s="45">
        <v>1</v>
      </c>
      <c r="F82" s="35">
        <v>1.78</v>
      </c>
      <c r="G82" s="35">
        <v>1.78</v>
      </c>
      <c r="H82" s="30">
        <f t="shared" si="1"/>
        <v>0</v>
      </c>
    </row>
    <row r="83" spans="1:8" x14ac:dyDescent="0.3">
      <c r="A83" s="71" t="s">
        <v>51</v>
      </c>
      <c r="B83" s="71" t="s">
        <v>298</v>
      </c>
      <c r="C83" s="4">
        <v>11466211</v>
      </c>
      <c r="D83" s="4" t="s">
        <v>6</v>
      </c>
      <c r="E83" s="6"/>
      <c r="F83" s="30">
        <v>0.01</v>
      </c>
      <c r="G83" s="35">
        <v>0.01</v>
      </c>
      <c r="H83" s="30">
        <f t="shared" si="1"/>
        <v>0</v>
      </c>
    </row>
    <row r="84" spans="1:8" x14ac:dyDescent="0.3">
      <c r="A84" s="71"/>
      <c r="B84" s="71"/>
      <c r="C84" s="4">
        <v>9008723</v>
      </c>
      <c r="D84" s="4" t="s">
        <v>8</v>
      </c>
      <c r="E84" s="6"/>
      <c r="F84" s="30">
        <v>0.01</v>
      </c>
      <c r="G84" s="35">
        <v>0.01</v>
      </c>
      <c r="H84" s="30">
        <f t="shared" si="1"/>
        <v>0</v>
      </c>
    </row>
    <row r="85" spans="1:8" x14ac:dyDescent="0.3">
      <c r="A85" s="71"/>
      <c r="B85" s="71"/>
      <c r="C85" s="4">
        <v>47315653</v>
      </c>
      <c r="D85" s="4" t="s">
        <v>10</v>
      </c>
      <c r="E85" s="45">
        <v>1</v>
      </c>
      <c r="F85" s="35">
        <v>2.72</v>
      </c>
      <c r="G85" s="35">
        <v>2.72</v>
      </c>
      <c r="H85" s="30">
        <f t="shared" si="1"/>
        <v>0</v>
      </c>
    </row>
    <row r="86" spans="1:8" x14ac:dyDescent="0.3">
      <c r="A86" s="72" t="s">
        <v>390</v>
      </c>
      <c r="B86" s="72" t="s">
        <v>299</v>
      </c>
      <c r="C86" s="10">
        <v>11467281</v>
      </c>
      <c r="D86" s="10" t="s">
        <v>6</v>
      </c>
      <c r="E86" s="11"/>
      <c r="F86" s="34">
        <v>0.1</v>
      </c>
      <c r="G86" s="81">
        <v>0.1</v>
      </c>
      <c r="H86" s="79">
        <f t="shared" si="1"/>
        <v>0</v>
      </c>
    </row>
    <row r="87" spans="1:8" x14ac:dyDescent="0.3">
      <c r="A87" s="72"/>
      <c r="B87" s="72"/>
      <c r="C87" s="10">
        <v>11466462</v>
      </c>
      <c r="D87" s="10" t="s">
        <v>8</v>
      </c>
      <c r="E87" s="11"/>
      <c r="F87" s="34">
        <v>0.1</v>
      </c>
      <c r="G87" s="81">
        <v>0.1</v>
      </c>
      <c r="H87" s="79">
        <f t="shared" si="1"/>
        <v>0</v>
      </c>
    </row>
    <row r="88" spans="1:8" x14ac:dyDescent="0.3">
      <c r="A88" s="72"/>
      <c r="B88" s="72"/>
      <c r="C88" s="10">
        <v>47315655</v>
      </c>
      <c r="D88" s="10" t="s">
        <v>10</v>
      </c>
      <c r="E88" s="59">
        <v>1</v>
      </c>
      <c r="F88" s="34">
        <v>0.93</v>
      </c>
      <c r="G88" s="81">
        <v>3.53</v>
      </c>
      <c r="H88" s="79">
        <f t="shared" si="1"/>
        <v>2.5999999999999996</v>
      </c>
    </row>
    <row r="89" spans="1:8" x14ac:dyDescent="0.3">
      <c r="A89" s="71" t="s">
        <v>389</v>
      </c>
      <c r="B89" s="71" t="s">
        <v>300</v>
      </c>
      <c r="C89" s="4">
        <v>11466808</v>
      </c>
      <c r="D89" s="4" t="s">
        <v>6</v>
      </c>
      <c r="E89" s="6"/>
      <c r="F89" s="30">
        <v>0.13</v>
      </c>
      <c r="G89" s="35">
        <v>0.13</v>
      </c>
      <c r="H89" s="30">
        <f t="shared" si="1"/>
        <v>0</v>
      </c>
    </row>
    <row r="90" spans="1:8" x14ac:dyDescent="0.3">
      <c r="A90" s="71"/>
      <c r="B90" s="71"/>
      <c r="C90" s="4">
        <v>11466666</v>
      </c>
      <c r="D90" s="4" t="s">
        <v>8</v>
      </c>
      <c r="E90" s="6"/>
      <c r="F90" s="35">
        <v>0.15</v>
      </c>
      <c r="G90" s="35">
        <v>0.15</v>
      </c>
      <c r="H90" s="30">
        <f t="shared" si="1"/>
        <v>0</v>
      </c>
    </row>
    <row r="91" spans="1:8" x14ac:dyDescent="0.3">
      <c r="A91" s="71"/>
      <c r="B91" s="71"/>
      <c r="C91" s="4">
        <v>48021964</v>
      </c>
      <c r="D91" s="4" t="s">
        <v>10</v>
      </c>
      <c r="E91" s="45">
        <v>1</v>
      </c>
      <c r="F91" s="30">
        <v>0.73</v>
      </c>
      <c r="G91" s="35">
        <v>0.73</v>
      </c>
      <c r="H91" s="30">
        <f t="shared" si="1"/>
        <v>0</v>
      </c>
    </row>
    <row r="92" spans="1:8" x14ac:dyDescent="0.3">
      <c r="A92" s="71" t="s">
        <v>53</v>
      </c>
      <c r="B92" s="71" t="s">
        <v>301</v>
      </c>
      <c r="C92" s="4">
        <v>11466273</v>
      </c>
      <c r="D92" s="4" t="s">
        <v>6</v>
      </c>
      <c r="E92" s="6"/>
      <c r="F92" s="30">
        <v>76.7</v>
      </c>
      <c r="G92" s="35">
        <v>76.7</v>
      </c>
      <c r="H92" s="30">
        <f t="shared" si="1"/>
        <v>0</v>
      </c>
    </row>
    <row r="93" spans="1:8" x14ac:dyDescent="0.3">
      <c r="A93" s="71"/>
      <c r="B93" s="71"/>
      <c r="C93" s="4">
        <v>11466541</v>
      </c>
      <c r="D93" s="4" t="s">
        <v>8</v>
      </c>
      <c r="E93" s="6"/>
      <c r="F93" s="30">
        <v>0.28000000000000003</v>
      </c>
      <c r="G93" s="35">
        <v>0.28000000000000003</v>
      </c>
      <c r="H93" s="30">
        <f t="shared" si="1"/>
        <v>0</v>
      </c>
    </row>
    <row r="94" spans="1:8" x14ac:dyDescent="0.3">
      <c r="A94" s="71"/>
      <c r="B94" s="71"/>
      <c r="C94" s="4">
        <v>48021857</v>
      </c>
      <c r="D94" s="4" t="s">
        <v>10</v>
      </c>
      <c r="E94" s="45">
        <v>1</v>
      </c>
      <c r="F94" s="30">
        <v>0.81</v>
      </c>
      <c r="G94" s="35">
        <v>0.81</v>
      </c>
      <c r="H94" s="30">
        <f t="shared" si="1"/>
        <v>0</v>
      </c>
    </row>
    <row r="95" spans="1:8" x14ac:dyDescent="0.3">
      <c r="A95" s="71" t="s">
        <v>54</v>
      </c>
      <c r="B95" s="71" t="s">
        <v>302</v>
      </c>
      <c r="C95" s="4">
        <v>11466271</v>
      </c>
      <c r="D95" s="4" t="s">
        <v>6</v>
      </c>
      <c r="E95" s="6"/>
      <c r="F95" s="30">
        <v>0.26</v>
      </c>
      <c r="G95" s="35">
        <v>0.26</v>
      </c>
      <c r="H95" s="30">
        <f t="shared" si="1"/>
        <v>0</v>
      </c>
    </row>
    <row r="96" spans="1:8" x14ac:dyDescent="0.3">
      <c r="A96" s="71"/>
      <c r="B96" s="71"/>
      <c r="C96" s="4">
        <v>11466544</v>
      </c>
      <c r="D96" s="4" t="s">
        <v>8</v>
      </c>
      <c r="E96" s="6"/>
      <c r="F96" s="30">
        <v>0.08</v>
      </c>
      <c r="G96" s="35">
        <v>0.08</v>
      </c>
      <c r="H96" s="30">
        <f t="shared" si="1"/>
        <v>0</v>
      </c>
    </row>
    <row r="97" spans="1:8" x14ac:dyDescent="0.3">
      <c r="A97" s="71"/>
      <c r="B97" s="71"/>
      <c r="C97" s="4">
        <v>47823890</v>
      </c>
      <c r="D97" s="4" t="s">
        <v>10</v>
      </c>
      <c r="E97" s="45">
        <v>1</v>
      </c>
      <c r="F97" s="35">
        <v>2.37</v>
      </c>
      <c r="G97" s="35">
        <v>2.37</v>
      </c>
      <c r="H97" s="30">
        <f t="shared" si="1"/>
        <v>0</v>
      </c>
    </row>
    <row r="98" spans="1:8" x14ac:dyDescent="0.3">
      <c r="A98" s="71" t="s">
        <v>54</v>
      </c>
      <c r="B98" s="71" t="s">
        <v>303</v>
      </c>
      <c r="C98" s="4">
        <v>10967379</v>
      </c>
      <c r="D98" s="4" t="s">
        <v>6</v>
      </c>
      <c r="E98" s="6"/>
      <c r="F98" s="30">
        <v>4.4999999999999998E-2</v>
      </c>
      <c r="G98" s="35">
        <v>4.4999999999999998E-2</v>
      </c>
      <c r="H98" s="30">
        <f t="shared" si="1"/>
        <v>0</v>
      </c>
    </row>
    <row r="99" spans="1:8" x14ac:dyDescent="0.3">
      <c r="A99" s="71"/>
      <c r="B99" s="71"/>
      <c r="C99" s="4">
        <v>10970931</v>
      </c>
      <c r="D99" s="4" t="s">
        <v>8</v>
      </c>
      <c r="E99" s="6"/>
      <c r="F99" s="30">
        <v>3.7999999999999999E-2</v>
      </c>
      <c r="G99" s="35">
        <v>3.7999999999999999E-2</v>
      </c>
      <c r="H99" s="30">
        <f t="shared" si="1"/>
        <v>0</v>
      </c>
    </row>
    <row r="100" spans="1:8" x14ac:dyDescent="0.3">
      <c r="A100" s="71"/>
      <c r="B100" s="71"/>
      <c r="C100" s="4">
        <v>47823868</v>
      </c>
      <c r="D100" s="4" t="s">
        <v>10</v>
      </c>
      <c r="E100" s="45">
        <v>1</v>
      </c>
      <c r="F100" s="30">
        <v>0.99</v>
      </c>
      <c r="G100" s="35">
        <v>0.99</v>
      </c>
      <c r="H100" s="30">
        <f t="shared" si="1"/>
        <v>0</v>
      </c>
    </row>
    <row r="101" spans="1:8" x14ac:dyDescent="0.3">
      <c r="A101" s="71" t="s">
        <v>54</v>
      </c>
      <c r="B101" s="71" t="s">
        <v>304</v>
      </c>
      <c r="C101" s="4">
        <v>11466271</v>
      </c>
      <c r="D101" s="4" t="s">
        <v>6</v>
      </c>
      <c r="E101" s="6"/>
      <c r="F101" s="30">
        <v>0.42</v>
      </c>
      <c r="G101" s="35">
        <v>0.42</v>
      </c>
      <c r="H101" s="30">
        <f t="shared" si="1"/>
        <v>0</v>
      </c>
    </row>
    <row r="102" spans="1:8" x14ac:dyDescent="0.3">
      <c r="A102" s="71"/>
      <c r="B102" s="71"/>
      <c r="C102" s="4">
        <v>11466269</v>
      </c>
      <c r="D102" s="4" t="s">
        <v>8</v>
      </c>
      <c r="E102" s="6"/>
      <c r="F102" s="30">
        <v>0.16</v>
      </c>
      <c r="G102" s="35">
        <v>0.16</v>
      </c>
      <c r="H102" s="30">
        <f t="shared" si="1"/>
        <v>0</v>
      </c>
    </row>
    <row r="103" spans="1:8" x14ac:dyDescent="0.3">
      <c r="A103" s="71"/>
      <c r="B103" s="71"/>
      <c r="C103" s="4">
        <v>47944550</v>
      </c>
      <c r="D103" s="4" t="s">
        <v>10</v>
      </c>
      <c r="E103" s="45">
        <v>1</v>
      </c>
      <c r="F103" s="30">
        <v>0.71</v>
      </c>
      <c r="G103" s="35">
        <v>0.71</v>
      </c>
      <c r="H103" s="30">
        <f t="shared" si="1"/>
        <v>0</v>
      </c>
    </row>
    <row r="104" spans="1:8" x14ac:dyDescent="0.3">
      <c r="A104" s="72" t="s">
        <v>55</v>
      </c>
      <c r="B104" s="72" t="s">
        <v>305</v>
      </c>
      <c r="C104" s="10">
        <v>10970926</v>
      </c>
      <c r="D104" s="10" t="s">
        <v>6</v>
      </c>
      <c r="E104" s="11"/>
      <c r="F104" s="34">
        <v>6.53</v>
      </c>
      <c r="G104" s="81">
        <v>9.4190000000000005</v>
      </c>
      <c r="H104" s="30">
        <f t="shared" si="1"/>
        <v>2.8890000000000002</v>
      </c>
    </row>
    <row r="105" spans="1:8" x14ac:dyDescent="0.3">
      <c r="A105" s="72"/>
      <c r="B105" s="72"/>
      <c r="C105" s="10">
        <v>10967261</v>
      </c>
      <c r="D105" s="10" t="s">
        <v>8</v>
      </c>
      <c r="E105" s="11"/>
      <c r="F105" s="34">
        <v>1.6819999999999999</v>
      </c>
      <c r="G105" s="81">
        <v>2.1030000000000002</v>
      </c>
      <c r="H105" s="30">
        <f t="shared" si="1"/>
        <v>0.42100000000000026</v>
      </c>
    </row>
    <row r="106" spans="1:8" x14ac:dyDescent="0.3">
      <c r="A106" s="72"/>
      <c r="B106" s="72"/>
      <c r="C106" s="10">
        <v>47314611</v>
      </c>
      <c r="D106" s="10" t="s">
        <v>10</v>
      </c>
      <c r="E106" s="59">
        <v>1</v>
      </c>
      <c r="F106" s="34">
        <v>133.97</v>
      </c>
      <c r="G106" s="81">
        <v>219.76</v>
      </c>
      <c r="H106" s="30">
        <f t="shared" si="1"/>
        <v>85.789999999999992</v>
      </c>
    </row>
    <row r="107" spans="1:8" x14ac:dyDescent="0.3">
      <c r="A107" s="71" t="s">
        <v>54</v>
      </c>
      <c r="B107" s="71" t="s">
        <v>306</v>
      </c>
      <c r="C107" s="4">
        <v>12182321</v>
      </c>
      <c r="D107" s="4" t="s">
        <v>6</v>
      </c>
      <c r="E107" s="6"/>
      <c r="F107" s="30">
        <v>1.9E-2</v>
      </c>
      <c r="G107" s="35">
        <v>1.9E-2</v>
      </c>
      <c r="H107" s="30">
        <f t="shared" si="1"/>
        <v>0</v>
      </c>
    </row>
    <row r="108" spans="1:8" x14ac:dyDescent="0.3">
      <c r="A108" s="71"/>
      <c r="B108" s="71"/>
      <c r="C108" s="4">
        <v>12189381</v>
      </c>
      <c r="D108" s="4" t="s">
        <v>8</v>
      </c>
      <c r="E108" s="6"/>
      <c r="F108" s="30">
        <v>4.9000000000000002E-2</v>
      </c>
      <c r="G108" s="35">
        <v>4.9000000000000002E-2</v>
      </c>
      <c r="H108" s="30">
        <f t="shared" si="1"/>
        <v>0</v>
      </c>
    </row>
    <row r="109" spans="1:8" x14ac:dyDescent="0.3">
      <c r="A109" s="71"/>
      <c r="B109" s="71"/>
      <c r="C109" s="4">
        <v>48028332</v>
      </c>
      <c r="D109" s="4" t="s">
        <v>10</v>
      </c>
      <c r="E109" s="45">
        <v>1</v>
      </c>
      <c r="F109" s="35">
        <v>0.75</v>
      </c>
      <c r="G109" s="35">
        <v>0.75</v>
      </c>
      <c r="H109" s="30">
        <f t="shared" si="1"/>
        <v>0</v>
      </c>
    </row>
    <row r="110" spans="1:8" x14ac:dyDescent="0.3">
      <c r="A110" s="72" t="s">
        <v>56</v>
      </c>
      <c r="B110" s="72" t="s">
        <v>307</v>
      </c>
      <c r="C110" s="10">
        <v>10969059</v>
      </c>
      <c r="D110" s="10" t="s">
        <v>6</v>
      </c>
      <c r="E110" s="11"/>
      <c r="F110" s="34"/>
      <c r="G110" s="81"/>
      <c r="H110" s="30">
        <f t="shared" si="1"/>
        <v>0</v>
      </c>
    </row>
    <row r="111" spans="1:8" x14ac:dyDescent="0.3">
      <c r="A111" s="72"/>
      <c r="B111" s="72"/>
      <c r="C111" s="10">
        <v>10971556</v>
      </c>
      <c r="D111" s="10" t="s">
        <v>8</v>
      </c>
      <c r="E111" s="11"/>
      <c r="F111" s="34"/>
      <c r="G111" s="81"/>
      <c r="H111" s="30">
        <f t="shared" si="1"/>
        <v>0</v>
      </c>
    </row>
    <row r="112" spans="1:8" x14ac:dyDescent="0.3">
      <c r="A112" s="72"/>
      <c r="B112" s="72"/>
      <c r="C112" s="10">
        <v>48027747</v>
      </c>
      <c r="D112" s="10" t="s">
        <v>10</v>
      </c>
      <c r="E112" s="59">
        <v>1</v>
      </c>
      <c r="F112" s="34">
        <v>417.41</v>
      </c>
      <c r="G112" s="81">
        <v>773.14</v>
      </c>
      <c r="H112" s="30">
        <f t="shared" si="1"/>
        <v>355.72999999999996</v>
      </c>
    </row>
    <row r="113" spans="1:8" x14ac:dyDescent="0.3">
      <c r="A113" s="71" t="s">
        <v>57</v>
      </c>
      <c r="B113" s="71" t="s">
        <v>308</v>
      </c>
      <c r="C113" s="4">
        <v>10971175</v>
      </c>
      <c r="D113" s="4" t="s">
        <v>6</v>
      </c>
      <c r="E113" s="6"/>
      <c r="F113" s="30">
        <v>0.22</v>
      </c>
      <c r="G113" s="35">
        <v>0.22</v>
      </c>
      <c r="H113" s="30">
        <f t="shared" si="1"/>
        <v>0</v>
      </c>
    </row>
    <row r="114" spans="1:8" x14ac:dyDescent="0.3">
      <c r="A114" s="71"/>
      <c r="B114" s="71"/>
      <c r="C114" s="4">
        <v>10969710</v>
      </c>
      <c r="D114" s="4" t="s">
        <v>8</v>
      </c>
      <c r="E114" s="6"/>
      <c r="F114" s="30">
        <v>0.26</v>
      </c>
      <c r="G114" s="35">
        <v>0.26</v>
      </c>
      <c r="H114" s="30">
        <f t="shared" si="1"/>
        <v>0</v>
      </c>
    </row>
    <row r="115" spans="1:8" x14ac:dyDescent="0.3">
      <c r="A115" s="71"/>
      <c r="B115" s="71"/>
      <c r="C115" s="4">
        <v>48027788</v>
      </c>
      <c r="D115" s="4" t="s">
        <v>10</v>
      </c>
      <c r="E115" s="45">
        <v>1</v>
      </c>
      <c r="F115" s="35">
        <v>2.57</v>
      </c>
      <c r="G115" s="35">
        <v>2.57</v>
      </c>
      <c r="H115" s="30">
        <f t="shared" si="1"/>
        <v>0</v>
      </c>
    </row>
    <row r="116" spans="1:8" x14ac:dyDescent="0.3">
      <c r="A116" s="71" t="s">
        <v>58</v>
      </c>
      <c r="B116" s="71" t="s">
        <v>309</v>
      </c>
      <c r="C116" s="4">
        <v>10971557</v>
      </c>
      <c r="D116" s="4" t="s">
        <v>6</v>
      </c>
      <c r="E116" s="6"/>
      <c r="F116" s="30">
        <v>1.27</v>
      </c>
      <c r="G116" s="35">
        <v>1.27</v>
      </c>
      <c r="H116" s="30">
        <f t="shared" si="1"/>
        <v>0</v>
      </c>
    </row>
    <row r="117" spans="1:8" x14ac:dyDescent="0.3">
      <c r="A117" s="71"/>
      <c r="B117" s="71"/>
      <c r="C117" s="4">
        <v>10971560</v>
      </c>
      <c r="D117" s="4" t="s">
        <v>8</v>
      </c>
      <c r="E117" s="6"/>
      <c r="F117" s="35">
        <v>0.316</v>
      </c>
      <c r="G117" s="35">
        <v>0.316</v>
      </c>
      <c r="H117" s="30">
        <f t="shared" si="1"/>
        <v>0</v>
      </c>
    </row>
    <row r="118" spans="1:8" x14ac:dyDescent="0.3">
      <c r="A118" s="71"/>
      <c r="B118" s="71"/>
      <c r="C118" s="4">
        <v>48028402</v>
      </c>
      <c r="D118" s="4" t="s">
        <v>10</v>
      </c>
      <c r="E118" s="45">
        <v>1</v>
      </c>
      <c r="F118" s="35">
        <v>1.3</v>
      </c>
      <c r="G118" s="35">
        <v>1.3</v>
      </c>
      <c r="H118" s="30">
        <f t="shared" si="1"/>
        <v>0</v>
      </c>
    </row>
    <row r="119" spans="1:8" x14ac:dyDescent="0.3">
      <c r="A119" s="72" t="s">
        <v>52</v>
      </c>
      <c r="B119" s="72" t="s">
        <v>310</v>
      </c>
      <c r="C119" s="10">
        <v>10971296</v>
      </c>
      <c r="D119" s="10" t="s">
        <v>6</v>
      </c>
      <c r="E119" s="11"/>
      <c r="F119" s="34">
        <v>0.51400000000000001</v>
      </c>
      <c r="G119" s="81">
        <v>0.51400000000000001</v>
      </c>
      <c r="H119" s="30">
        <f t="shared" si="1"/>
        <v>0</v>
      </c>
    </row>
    <row r="120" spans="1:8" x14ac:dyDescent="0.3">
      <c r="A120" s="72"/>
      <c r="B120" s="72"/>
      <c r="C120" s="10">
        <v>10966630</v>
      </c>
      <c r="D120" s="10" t="s">
        <v>8</v>
      </c>
      <c r="E120" s="11"/>
      <c r="F120" s="34">
        <v>0.36</v>
      </c>
      <c r="G120" s="81">
        <v>0.36</v>
      </c>
      <c r="H120" s="30">
        <f t="shared" si="1"/>
        <v>0</v>
      </c>
    </row>
    <row r="121" spans="1:8" x14ac:dyDescent="0.3">
      <c r="A121" s="72"/>
      <c r="B121" s="72"/>
      <c r="C121" s="10">
        <v>48022018</v>
      </c>
      <c r="D121" s="10" t="s">
        <v>10</v>
      </c>
      <c r="E121" s="59">
        <v>1</v>
      </c>
      <c r="F121" s="34">
        <v>76.260000000000005</v>
      </c>
      <c r="G121" s="81">
        <v>127.1</v>
      </c>
      <c r="H121" s="30">
        <f t="shared" si="1"/>
        <v>50.839999999999989</v>
      </c>
    </row>
    <row r="122" spans="1:8" x14ac:dyDescent="0.3">
      <c r="A122" s="71" t="s">
        <v>59</v>
      </c>
      <c r="B122" s="71" t="s">
        <v>311</v>
      </c>
      <c r="C122" s="4">
        <v>10972487</v>
      </c>
      <c r="D122" s="4" t="s">
        <v>6</v>
      </c>
      <c r="E122" s="6"/>
      <c r="F122" s="30">
        <v>0.28000000000000003</v>
      </c>
      <c r="G122" s="35">
        <v>0.28000000000000003</v>
      </c>
      <c r="H122" s="30">
        <f t="shared" si="1"/>
        <v>0</v>
      </c>
    </row>
    <row r="123" spans="1:8" x14ac:dyDescent="0.3">
      <c r="A123" s="71"/>
      <c r="B123" s="71"/>
      <c r="C123" s="4">
        <v>10971759</v>
      </c>
      <c r="D123" s="4" t="s">
        <v>8</v>
      </c>
      <c r="E123" s="6"/>
      <c r="F123" s="30">
        <v>0.88</v>
      </c>
      <c r="G123" s="35">
        <v>0.88</v>
      </c>
      <c r="H123" s="30">
        <f t="shared" si="1"/>
        <v>0</v>
      </c>
    </row>
    <row r="124" spans="1:8" x14ac:dyDescent="0.3">
      <c r="A124" s="71"/>
      <c r="B124" s="71"/>
      <c r="C124" s="4">
        <v>48027797</v>
      </c>
      <c r="D124" s="4" t="s">
        <v>10</v>
      </c>
      <c r="E124" s="45">
        <v>1</v>
      </c>
      <c r="F124" s="35">
        <v>1.32</v>
      </c>
      <c r="G124" s="35">
        <v>1.32</v>
      </c>
      <c r="H124" s="30">
        <f t="shared" si="1"/>
        <v>0</v>
      </c>
    </row>
    <row r="125" spans="1:8" x14ac:dyDescent="0.3">
      <c r="A125" s="71" t="s">
        <v>405</v>
      </c>
      <c r="B125" s="71" t="s">
        <v>404</v>
      </c>
      <c r="C125" s="4">
        <v>10966660</v>
      </c>
      <c r="D125" s="4" t="s">
        <v>6</v>
      </c>
      <c r="E125" s="6"/>
      <c r="F125" s="35">
        <v>1.4E-2</v>
      </c>
      <c r="G125" s="35">
        <v>1.4E-2</v>
      </c>
      <c r="H125" s="30">
        <f t="shared" si="1"/>
        <v>0</v>
      </c>
    </row>
    <row r="126" spans="1:8" x14ac:dyDescent="0.3">
      <c r="A126" s="71"/>
      <c r="B126" s="71"/>
      <c r="C126" s="4">
        <v>10971756</v>
      </c>
      <c r="D126" s="4" t="s">
        <v>8</v>
      </c>
      <c r="E126" s="6"/>
      <c r="F126" s="35">
        <v>0.17</v>
      </c>
      <c r="G126" s="35">
        <v>0.17</v>
      </c>
      <c r="H126" s="30">
        <f t="shared" si="1"/>
        <v>0</v>
      </c>
    </row>
    <row r="127" spans="1:8" x14ac:dyDescent="0.3">
      <c r="A127" s="71"/>
      <c r="B127" s="71"/>
      <c r="C127" s="4">
        <v>48028707</v>
      </c>
      <c r="D127" s="4" t="s">
        <v>10</v>
      </c>
      <c r="E127" s="45">
        <v>1</v>
      </c>
      <c r="F127" s="35">
        <v>0.93</v>
      </c>
      <c r="G127" s="35">
        <v>0.93</v>
      </c>
      <c r="H127" s="30">
        <f t="shared" si="1"/>
        <v>0</v>
      </c>
    </row>
    <row r="128" spans="1:8" x14ac:dyDescent="0.3">
      <c r="A128" s="72" t="s">
        <v>398</v>
      </c>
      <c r="B128" s="72" t="s">
        <v>365</v>
      </c>
      <c r="C128" s="10">
        <v>10970885</v>
      </c>
      <c r="D128" s="10" t="s">
        <v>6</v>
      </c>
      <c r="E128" s="11"/>
      <c r="F128" s="34">
        <v>0.13</v>
      </c>
      <c r="G128" s="81">
        <v>2.1019999999999999</v>
      </c>
      <c r="H128" s="30">
        <f t="shared" si="1"/>
        <v>1.972</v>
      </c>
    </row>
    <row r="129" spans="1:8" x14ac:dyDescent="0.3">
      <c r="A129" s="72"/>
      <c r="B129" s="72"/>
      <c r="C129" s="10">
        <v>10972648</v>
      </c>
      <c r="D129" s="10" t="s">
        <v>8</v>
      </c>
      <c r="E129" s="11"/>
      <c r="F129" s="34">
        <v>0.29799999999999999</v>
      </c>
      <c r="G129" s="81">
        <v>0.29799999999999999</v>
      </c>
      <c r="H129" s="30">
        <f t="shared" si="1"/>
        <v>0</v>
      </c>
    </row>
    <row r="130" spans="1:8" x14ac:dyDescent="0.3">
      <c r="A130" s="72"/>
      <c r="B130" s="72"/>
      <c r="C130" s="10">
        <v>48021950</v>
      </c>
      <c r="D130" s="10" t="s">
        <v>10</v>
      </c>
      <c r="E130" s="59">
        <v>1</v>
      </c>
      <c r="F130" s="34">
        <v>15.15</v>
      </c>
      <c r="G130" s="81">
        <v>294.27</v>
      </c>
      <c r="H130" s="30">
        <f t="shared" ref="H130:H193" si="2">G130-F130</f>
        <v>279.12</v>
      </c>
    </row>
    <row r="131" spans="1:8" x14ac:dyDescent="0.3">
      <c r="A131" s="72" t="s">
        <v>52</v>
      </c>
      <c r="B131" s="72" t="s">
        <v>312</v>
      </c>
      <c r="C131" s="10">
        <v>10971209</v>
      </c>
      <c r="D131" s="10" t="s">
        <v>6</v>
      </c>
      <c r="E131" s="11"/>
      <c r="F131" s="34">
        <v>0.9</v>
      </c>
      <c r="G131" s="81">
        <v>0.9</v>
      </c>
      <c r="H131" s="30">
        <f t="shared" si="2"/>
        <v>0</v>
      </c>
    </row>
    <row r="132" spans="1:8" x14ac:dyDescent="0.3">
      <c r="A132" s="72"/>
      <c r="B132" s="72"/>
      <c r="C132" s="10">
        <v>10970513</v>
      </c>
      <c r="D132" s="10" t="s">
        <v>8</v>
      </c>
      <c r="E132" s="11"/>
      <c r="F132" s="34">
        <v>0.6</v>
      </c>
      <c r="G132" s="81">
        <v>0.6</v>
      </c>
      <c r="H132" s="30">
        <f t="shared" si="2"/>
        <v>0</v>
      </c>
    </row>
    <row r="133" spans="1:8" x14ac:dyDescent="0.3">
      <c r="A133" s="72"/>
      <c r="B133" s="72"/>
      <c r="C133" s="10">
        <v>47823848</v>
      </c>
      <c r="D133" s="10" t="s">
        <v>10</v>
      </c>
      <c r="E133" s="59">
        <v>1</v>
      </c>
      <c r="F133" s="34">
        <v>0.72</v>
      </c>
      <c r="G133" s="81">
        <v>3</v>
      </c>
      <c r="H133" s="30">
        <f t="shared" si="2"/>
        <v>2.2800000000000002</v>
      </c>
    </row>
    <row r="134" spans="1:8" x14ac:dyDescent="0.3">
      <c r="A134" s="71" t="s">
        <v>60</v>
      </c>
      <c r="B134" s="71" t="s">
        <v>313</v>
      </c>
      <c r="C134" s="4">
        <v>10972490</v>
      </c>
      <c r="D134" s="4" t="s">
        <v>6</v>
      </c>
      <c r="E134" s="6"/>
      <c r="F134" s="30">
        <v>0.37</v>
      </c>
      <c r="G134" s="35">
        <v>0.37</v>
      </c>
      <c r="H134" s="30">
        <f t="shared" si="2"/>
        <v>0</v>
      </c>
    </row>
    <row r="135" spans="1:8" x14ac:dyDescent="0.3">
      <c r="A135" s="71"/>
      <c r="B135" s="71"/>
      <c r="C135" s="4">
        <v>10966658</v>
      </c>
      <c r="D135" s="4" t="s">
        <v>8</v>
      </c>
      <c r="E135" s="6"/>
      <c r="F135" s="30">
        <v>2.6</v>
      </c>
      <c r="G135" s="35">
        <v>2.6</v>
      </c>
      <c r="H135" s="30">
        <f t="shared" si="2"/>
        <v>0</v>
      </c>
    </row>
    <row r="136" spans="1:8" x14ac:dyDescent="0.3">
      <c r="A136" s="71"/>
      <c r="B136" s="71"/>
      <c r="C136" s="4">
        <v>48028378</v>
      </c>
      <c r="D136" s="4" t="s">
        <v>10</v>
      </c>
      <c r="E136" s="45">
        <v>1</v>
      </c>
      <c r="F136" s="35">
        <v>22.42</v>
      </c>
      <c r="G136" s="35">
        <v>22.42</v>
      </c>
      <c r="H136" s="30">
        <f t="shared" si="2"/>
        <v>0</v>
      </c>
    </row>
    <row r="137" spans="1:8" x14ac:dyDescent="0.3">
      <c r="A137" s="72" t="s">
        <v>395</v>
      </c>
      <c r="B137" s="72" t="s">
        <v>366</v>
      </c>
      <c r="C137" s="10">
        <v>10968101</v>
      </c>
      <c r="D137" s="10" t="s">
        <v>6</v>
      </c>
      <c r="E137" s="11"/>
      <c r="F137" s="34">
        <v>6.9000000000000006E-2</v>
      </c>
      <c r="G137" s="81">
        <v>6.9000000000000006E-2</v>
      </c>
      <c r="H137" s="30">
        <f t="shared" si="2"/>
        <v>0</v>
      </c>
    </row>
    <row r="138" spans="1:8" x14ac:dyDescent="0.3">
      <c r="A138" s="72"/>
      <c r="B138" s="72"/>
      <c r="C138" s="10">
        <v>10968402</v>
      </c>
      <c r="D138" s="10" t="s">
        <v>8</v>
      </c>
      <c r="E138" s="11"/>
      <c r="F138" s="34">
        <v>0.252</v>
      </c>
      <c r="G138" s="34">
        <v>0.252</v>
      </c>
      <c r="H138" s="30">
        <f t="shared" si="2"/>
        <v>0</v>
      </c>
    </row>
    <row r="139" spans="1:8" x14ac:dyDescent="0.3">
      <c r="A139" s="72"/>
      <c r="B139" s="72"/>
      <c r="C139" s="10">
        <v>47315767</v>
      </c>
      <c r="D139" s="10" t="s">
        <v>10</v>
      </c>
      <c r="E139" s="59"/>
      <c r="F139" s="34">
        <v>1.92</v>
      </c>
      <c r="G139" s="81">
        <v>27.96</v>
      </c>
      <c r="H139" s="30">
        <f t="shared" si="2"/>
        <v>26.04</v>
      </c>
    </row>
    <row r="140" spans="1:8" x14ac:dyDescent="0.3">
      <c r="A140" s="72" t="s">
        <v>61</v>
      </c>
      <c r="B140" s="72" t="s">
        <v>314</v>
      </c>
      <c r="C140" s="10">
        <v>10971780</v>
      </c>
      <c r="D140" s="10" t="s">
        <v>6</v>
      </c>
      <c r="E140" s="11"/>
      <c r="F140" s="34">
        <v>3.2040000000000002</v>
      </c>
      <c r="G140" s="81">
        <v>8.18</v>
      </c>
      <c r="H140" s="30">
        <f t="shared" si="2"/>
        <v>4.9759999999999991</v>
      </c>
    </row>
    <row r="141" spans="1:8" x14ac:dyDescent="0.3">
      <c r="A141" s="72"/>
      <c r="B141" s="72"/>
      <c r="C141" s="10">
        <v>10968011</v>
      </c>
      <c r="D141" s="10" t="s">
        <v>8</v>
      </c>
      <c r="E141" s="11"/>
      <c r="F141" s="34">
        <v>0.61899999999999999</v>
      </c>
      <c r="G141" s="81">
        <v>4.8879999999999999</v>
      </c>
      <c r="H141" s="30">
        <f t="shared" si="2"/>
        <v>4.2690000000000001</v>
      </c>
    </row>
    <row r="142" spans="1:8" x14ac:dyDescent="0.3">
      <c r="A142" s="72"/>
      <c r="B142" s="72"/>
      <c r="C142" s="10">
        <v>48021961</v>
      </c>
      <c r="D142" s="10" t="s">
        <v>10</v>
      </c>
      <c r="E142" s="59">
        <v>1</v>
      </c>
      <c r="F142" s="34">
        <v>498.59</v>
      </c>
      <c r="G142" s="81">
        <v>986.23</v>
      </c>
      <c r="H142" s="30">
        <f t="shared" si="2"/>
        <v>487.64000000000004</v>
      </c>
    </row>
    <row r="143" spans="1:8" x14ac:dyDescent="0.3">
      <c r="A143" s="71" t="s">
        <v>62</v>
      </c>
      <c r="B143" s="71" t="s">
        <v>315</v>
      </c>
      <c r="C143" s="4">
        <v>10971929</v>
      </c>
      <c r="D143" s="4" t="s">
        <v>6</v>
      </c>
      <c r="E143" s="6"/>
      <c r="F143" s="35">
        <v>0.17100000000000001</v>
      </c>
      <c r="G143" s="35">
        <v>0.17100000000000001</v>
      </c>
      <c r="H143" s="30">
        <f t="shared" si="2"/>
        <v>0</v>
      </c>
    </row>
    <row r="144" spans="1:8" x14ac:dyDescent="0.3">
      <c r="A144" s="71"/>
      <c r="B144" s="71"/>
      <c r="C144" s="4">
        <v>10971938</v>
      </c>
      <c r="D144" s="4" t="s">
        <v>8</v>
      </c>
      <c r="E144" s="6"/>
      <c r="F144" s="35">
        <v>0.28599999999999998</v>
      </c>
      <c r="G144" s="35">
        <v>0.28599999999999998</v>
      </c>
      <c r="H144" s="30">
        <f t="shared" si="2"/>
        <v>0</v>
      </c>
    </row>
    <row r="145" spans="1:8" x14ac:dyDescent="0.3">
      <c r="A145" s="71"/>
      <c r="B145" s="71"/>
      <c r="C145" s="4">
        <v>47824390</v>
      </c>
      <c r="D145" s="4" t="s">
        <v>10</v>
      </c>
      <c r="E145" s="45">
        <v>1</v>
      </c>
      <c r="F145" s="35">
        <v>2.7</v>
      </c>
      <c r="G145" s="35">
        <v>2.7</v>
      </c>
      <c r="H145" s="30">
        <f t="shared" si="2"/>
        <v>0</v>
      </c>
    </row>
    <row r="146" spans="1:8" x14ac:dyDescent="0.3">
      <c r="A146" s="71" t="s">
        <v>63</v>
      </c>
      <c r="B146" s="71" t="s">
        <v>316</v>
      </c>
      <c r="C146" s="4">
        <v>10970517</v>
      </c>
      <c r="D146" s="4" t="s">
        <v>6</v>
      </c>
      <c r="E146" s="6"/>
      <c r="F146" s="35">
        <v>0.7</v>
      </c>
      <c r="G146" s="35">
        <v>0.7</v>
      </c>
      <c r="H146" s="30">
        <f t="shared" si="2"/>
        <v>0</v>
      </c>
    </row>
    <row r="147" spans="1:8" x14ac:dyDescent="0.3">
      <c r="A147" s="71"/>
      <c r="B147" s="71"/>
      <c r="C147" s="4">
        <v>10968006</v>
      </c>
      <c r="D147" s="4" t="s">
        <v>8</v>
      </c>
      <c r="E147" s="6"/>
      <c r="F147" s="35">
        <v>2.5049999999999999</v>
      </c>
      <c r="G147" s="35">
        <v>2.5049999999999999</v>
      </c>
      <c r="H147" s="30">
        <f t="shared" si="2"/>
        <v>0</v>
      </c>
    </row>
    <row r="148" spans="1:8" x14ac:dyDescent="0.3">
      <c r="A148" s="71"/>
      <c r="B148" s="71"/>
      <c r="C148" s="4">
        <v>47823845</v>
      </c>
      <c r="D148" s="4" t="s">
        <v>10</v>
      </c>
      <c r="E148" s="45">
        <v>1</v>
      </c>
      <c r="F148" s="35">
        <v>2.37</v>
      </c>
      <c r="G148" s="35">
        <v>2.37</v>
      </c>
      <c r="H148" s="30">
        <f t="shared" si="2"/>
        <v>0</v>
      </c>
    </row>
    <row r="149" spans="1:8" x14ac:dyDescent="0.3">
      <c r="A149" s="71" t="s">
        <v>64</v>
      </c>
      <c r="B149" s="71" t="s">
        <v>317</v>
      </c>
      <c r="C149" s="4">
        <v>10969708</v>
      </c>
      <c r="D149" s="4" t="s">
        <v>6</v>
      </c>
      <c r="E149" s="6"/>
      <c r="F149" s="35">
        <v>0.09</v>
      </c>
      <c r="G149" s="35">
        <v>0.09</v>
      </c>
      <c r="H149" s="30">
        <f t="shared" si="2"/>
        <v>0</v>
      </c>
    </row>
    <row r="150" spans="1:8" x14ac:dyDescent="0.3">
      <c r="A150" s="71"/>
      <c r="B150" s="71"/>
      <c r="C150" s="4">
        <v>10968012</v>
      </c>
      <c r="D150" s="4" t="s">
        <v>8</v>
      </c>
      <c r="E150" s="6"/>
      <c r="F150" s="35">
        <v>0.06</v>
      </c>
      <c r="G150" s="35">
        <v>0.06</v>
      </c>
      <c r="H150" s="30">
        <f t="shared" si="2"/>
        <v>0</v>
      </c>
    </row>
    <row r="151" spans="1:8" x14ac:dyDescent="0.3">
      <c r="A151" s="71"/>
      <c r="B151" s="71"/>
      <c r="C151" s="4">
        <v>48028716</v>
      </c>
      <c r="D151" s="4" t="s">
        <v>10</v>
      </c>
      <c r="E151" s="45">
        <v>1</v>
      </c>
      <c r="F151" s="35">
        <v>3.17</v>
      </c>
      <c r="G151" s="35">
        <v>3.17</v>
      </c>
      <c r="H151" s="30">
        <f t="shared" si="2"/>
        <v>0</v>
      </c>
    </row>
    <row r="152" spans="1:8" ht="14.4" customHeight="1" x14ac:dyDescent="0.3">
      <c r="A152" s="72" t="s">
        <v>390</v>
      </c>
      <c r="B152" s="72" t="s">
        <v>318</v>
      </c>
      <c r="C152" s="10">
        <v>10971779</v>
      </c>
      <c r="D152" s="10" t="s">
        <v>6</v>
      </c>
      <c r="E152" s="11"/>
      <c r="F152" s="34">
        <v>3.29</v>
      </c>
      <c r="G152" s="81">
        <v>5.6539999999999999</v>
      </c>
      <c r="H152" s="30">
        <f t="shared" si="2"/>
        <v>2.3639999999999999</v>
      </c>
    </row>
    <row r="153" spans="1:8" x14ac:dyDescent="0.3">
      <c r="A153" s="72"/>
      <c r="B153" s="72"/>
      <c r="C153" s="10">
        <v>10972512</v>
      </c>
      <c r="D153" s="10" t="s">
        <v>8</v>
      </c>
      <c r="E153" s="11"/>
      <c r="F153" s="34">
        <v>14.48</v>
      </c>
      <c r="G153" s="81">
        <v>15.051</v>
      </c>
      <c r="H153" s="30">
        <f t="shared" si="2"/>
        <v>0.57099999999999973</v>
      </c>
    </row>
    <row r="154" spans="1:8" x14ac:dyDescent="0.3">
      <c r="A154" s="72"/>
      <c r="B154" s="72"/>
      <c r="C154" s="10">
        <v>48027758</v>
      </c>
      <c r="D154" s="10" t="s">
        <v>10</v>
      </c>
      <c r="E154" s="59">
        <v>1</v>
      </c>
      <c r="F154" s="34">
        <v>112.93</v>
      </c>
      <c r="G154" s="81">
        <v>628.91999999999996</v>
      </c>
      <c r="H154" s="30">
        <f t="shared" si="2"/>
        <v>515.99</v>
      </c>
    </row>
    <row r="155" spans="1:8" x14ac:dyDescent="0.3">
      <c r="A155" s="72" t="s">
        <v>65</v>
      </c>
      <c r="B155" s="72" t="s">
        <v>319</v>
      </c>
      <c r="C155" s="10">
        <v>10968405</v>
      </c>
      <c r="D155" s="10" t="s">
        <v>6</v>
      </c>
      <c r="E155" s="11"/>
      <c r="F155" s="34">
        <v>3.85</v>
      </c>
      <c r="G155" s="81">
        <v>5.5339999999999998</v>
      </c>
      <c r="H155" s="30">
        <f t="shared" si="2"/>
        <v>1.6839999999999997</v>
      </c>
    </row>
    <row r="156" spans="1:8" x14ac:dyDescent="0.3">
      <c r="A156" s="72"/>
      <c r="B156" s="72"/>
      <c r="C156" s="10">
        <v>10968170</v>
      </c>
      <c r="D156" s="10" t="s">
        <v>8</v>
      </c>
      <c r="E156" s="11"/>
      <c r="F156" s="34">
        <v>1.49</v>
      </c>
      <c r="G156" s="81">
        <v>3.7789999999999999</v>
      </c>
      <c r="H156" s="30">
        <f t="shared" si="2"/>
        <v>2.2889999999999997</v>
      </c>
    </row>
    <row r="157" spans="1:8" x14ac:dyDescent="0.3">
      <c r="A157" s="72"/>
      <c r="B157" s="72"/>
      <c r="C157" s="10">
        <v>48022214</v>
      </c>
      <c r="D157" s="10" t="s">
        <v>10</v>
      </c>
      <c r="E157" s="59">
        <v>1</v>
      </c>
      <c r="F157" s="34">
        <v>85.94</v>
      </c>
      <c r="G157" s="81">
        <v>398.53</v>
      </c>
      <c r="H157" s="30">
        <f t="shared" si="2"/>
        <v>312.58999999999997</v>
      </c>
    </row>
    <row r="158" spans="1:8" x14ac:dyDescent="0.3">
      <c r="A158" s="71" t="s">
        <v>60</v>
      </c>
      <c r="B158" s="71" t="s">
        <v>320</v>
      </c>
      <c r="C158" s="4">
        <v>10968104</v>
      </c>
      <c r="D158" s="4" t="s">
        <v>6</v>
      </c>
      <c r="E158" s="6"/>
      <c r="F158" s="30">
        <v>7.3090000000000002</v>
      </c>
      <c r="G158" s="35">
        <v>7.3090000000000002</v>
      </c>
      <c r="H158" s="30">
        <f t="shared" si="2"/>
        <v>0</v>
      </c>
    </row>
    <row r="159" spans="1:8" x14ac:dyDescent="0.3">
      <c r="A159" s="71"/>
      <c r="B159" s="71"/>
      <c r="C159" s="4">
        <v>10968583</v>
      </c>
      <c r="D159" s="4" t="s">
        <v>8</v>
      </c>
      <c r="E159" s="6"/>
      <c r="F159" s="30">
        <v>1.345</v>
      </c>
      <c r="G159" s="35">
        <v>1.345</v>
      </c>
      <c r="H159" s="30">
        <f t="shared" si="2"/>
        <v>0</v>
      </c>
    </row>
    <row r="160" spans="1:8" x14ac:dyDescent="0.3">
      <c r="A160" s="71"/>
      <c r="B160" s="71"/>
      <c r="C160" s="4">
        <v>47823918</v>
      </c>
      <c r="D160" s="4" t="s">
        <v>10</v>
      </c>
      <c r="E160" s="45">
        <v>1</v>
      </c>
      <c r="F160" s="30">
        <v>2080.31</v>
      </c>
      <c r="G160" s="35">
        <v>2080.31</v>
      </c>
      <c r="H160" s="30">
        <f t="shared" si="2"/>
        <v>0</v>
      </c>
    </row>
    <row r="161" spans="1:8" ht="14.4" customHeight="1" x14ac:dyDescent="0.3">
      <c r="A161" s="72" t="s">
        <v>391</v>
      </c>
      <c r="B161" s="72" t="s">
        <v>321</v>
      </c>
      <c r="C161" s="10">
        <v>11466861</v>
      </c>
      <c r="D161" s="10" t="s">
        <v>6</v>
      </c>
      <c r="E161" s="11"/>
      <c r="F161" s="34">
        <v>2.6379999999999999</v>
      </c>
      <c r="G161" s="81">
        <v>3.09</v>
      </c>
      <c r="H161" s="30">
        <f t="shared" si="2"/>
        <v>0.45199999999999996</v>
      </c>
    </row>
    <row r="162" spans="1:8" x14ac:dyDescent="0.3">
      <c r="A162" s="72"/>
      <c r="B162" s="72"/>
      <c r="C162" s="10">
        <v>11466678</v>
      </c>
      <c r="D162" s="10" t="s">
        <v>8</v>
      </c>
      <c r="E162" s="11"/>
      <c r="F162" s="34">
        <v>151.06</v>
      </c>
      <c r="G162" s="81">
        <v>151.536</v>
      </c>
      <c r="H162" s="30">
        <f t="shared" si="2"/>
        <v>0.47599999999999909</v>
      </c>
    </row>
    <row r="163" spans="1:8" x14ac:dyDescent="0.3">
      <c r="A163" s="72"/>
      <c r="B163" s="72"/>
      <c r="C163" s="10">
        <v>47823735</v>
      </c>
      <c r="D163" s="10" t="s">
        <v>10</v>
      </c>
      <c r="E163" s="59">
        <v>1</v>
      </c>
      <c r="F163" s="34">
        <v>245.37</v>
      </c>
      <c r="G163" s="81">
        <v>314.7</v>
      </c>
      <c r="H163" s="30">
        <f t="shared" si="2"/>
        <v>69.329999999999984</v>
      </c>
    </row>
    <row r="164" spans="1:8" x14ac:dyDescent="0.3">
      <c r="A164" s="71" t="s">
        <v>67</v>
      </c>
      <c r="B164" s="71" t="s">
        <v>322</v>
      </c>
      <c r="C164" s="4">
        <v>10971797</v>
      </c>
      <c r="D164" s="4" t="s">
        <v>6</v>
      </c>
      <c r="E164" s="6"/>
      <c r="F164" s="35">
        <v>0.01</v>
      </c>
      <c r="G164" s="35">
        <v>0.01</v>
      </c>
      <c r="H164" s="30">
        <f t="shared" si="2"/>
        <v>0</v>
      </c>
    </row>
    <row r="165" spans="1:8" x14ac:dyDescent="0.3">
      <c r="A165" s="71"/>
      <c r="B165" s="71"/>
      <c r="C165" s="4">
        <v>11466873</v>
      </c>
      <c r="D165" s="4" t="s">
        <v>8</v>
      </c>
      <c r="E165" s="6"/>
      <c r="F165" s="35">
        <v>1.4999999999999999E-2</v>
      </c>
      <c r="G165" s="35">
        <v>1.4999999999999999E-2</v>
      </c>
      <c r="H165" s="30">
        <f t="shared" si="2"/>
        <v>0</v>
      </c>
    </row>
    <row r="166" spans="1:8" x14ac:dyDescent="0.3">
      <c r="A166" s="71"/>
      <c r="B166" s="71"/>
      <c r="C166" s="4">
        <v>47823838</v>
      </c>
      <c r="D166" s="4" t="s">
        <v>10</v>
      </c>
      <c r="E166" s="45">
        <v>1</v>
      </c>
      <c r="F166" s="35">
        <v>3.65</v>
      </c>
      <c r="G166" s="35">
        <v>3.65</v>
      </c>
      <c r="H166" s="30">
        <f t="shared" si="2"/>
        <v>0</v>
      </c>
    </row>
    <row r="167" spans="1:8" x14ac:dyDescent="0.3">
      <c r="A167" s="71" t="s">
        <v>68</v>
      </c>
      <c r="B167" s="71" t="s">
        <v>323</v>
      </c>
      <c r="C167" s="4">
        <v>10972565</v>
      </c>
      <c r="D167" s="4" t="s">
        <v>6</v>
      </c>
      <c r="E167" s="6"/>
      <c r="F167" s="35">
        <v>0.25</v>
      </c>
      <c r="G167" s="35">
        <v>0.25</v>
      </c>
      <c r="H167" s="30">
        <f t="shared" si="2"/>
        <v>0</v>
      </c>
    </row>
    <row r="168" spans="1:8" x14ac:dyDescent="0.3">
      <c r="A168" s="71"/>
      <c r="B168" s="71"/>
      <c r="C168" s="4">
        <v>10971715</v>
      </c>
      <c r="D168" s="4" t="s">
        <v>8</v>
      </c>
      <c r="E168" s="6"/>
      <c r="F168" s="35">
        <v>6.1020000000000003</v>
      </c>
      <c r="G168" s="35">
        <v>6.1020000000000003</v>
      </c>
      <c r="H168" s="30">
        <f t="shared" si="2"/>
        <v>0</v>
      </c>
    </row>
    <row r="169" spans="1:8" x14ac:dyDescent="0.3">
      <c r="A169" s="71"/>
      <c r="B169" s="71"/>
      <c r="C169" s="4">
        <v>48027980</v>
      </c>
      <c r="D169" s="4" t="s">
        <v>10</v>
      </c>
      <c r="E169" s="45">
        <v>1</v>
      </c>
      <c r="F169" s="35">
        <v>23.51</v>
      </c>
      <c r="G169" s="35">
        <v>23.51</v>
      </c>
      <c r="H169" s="30">
        <f t="shared" si="2"/>
        <v>0</v>
      </c>
    </row>
    <row r="170" spans="1:8" x14ac:dyDescent="0.3">
      <c r="A170" s="72" t="s">
        <v>69</v>
      </c>
      <c r="B170" s="72" t="s">
        <v>324</v>
      </c>
      <c r="C170" s="10">
        <v>11466848</v>
      </c>
      <c r="D170" s="10" t="s">
        <v>6</v>
      </c>
      <c r="E170" s="11"/>
      <c r="F170" s="34">
        <v>34.064999999999998</v>
      </c>
      <c r="G170" s="81">
        <v>52.167999999999999</v>
      </c>
      <c r="H170" s="30">
        <f t="shared" si="2"/>
        <v>18.103000000000002</v>
      </c>
    </row>
    <row r="171" spans="1:8" x14ac:dyDescent="0.3">
      <c r="A171" s="72"/>
      <c r="B171" s="72"/>
      <c r="C171" s="10">
        <v>11466859</v>
      </c>
      <c r="D171" s="10" t="s">
        <v>8</v>
      </c>
      <c r="E171" s="11"/>
      <c r="F171" s="34">
        <v>8.93</v>
      </c>
      <c r="G171" s="81">
        <v>10.417999999999999</v>
      </c>
      <c r="H171" s="30">
        <f t="shared" si="2"/>
        <v>1.4879999999999995</v>
      </c>
    </row>
    <row r="172" spans="1:8" x14ac:dyDescent="0.3">
      <c r="A172" s="72"/>
      <c r="B172" s="72"/>
      <c r="C172" s="10">
        <v>47647148</v>
      </c>
      <c r="D172" s="10" t="s">
        <v>10</v>
      </c>
      <c r="E172" s="59">
        <v>1</v>
      </c>
      <c r="F172" s="34">
        <v>437.91</v>
      </c>
      <c r="G172" s="81">
        <v>1181.8399999999999</v>
      </c>
      <c r="H172" s="30">
        <f t="shared" si="2"/>
        <v>743.92999999999984</v>
      </c>
    </row>
    <row r="173" spans="1:8" x14ac:dyDescent="0.3">
      <c r="A173" s="72" t="s">
        <v>69</v>
      </c>
      <c r="B173" s="72" t="s">
        <v>325</v>
      </c>
      <c r="C173" s="10" t="s">
        <v>70</v>
      </c>
      <c r="D173" s="10" t="s">
        <v>6</v>
      </c>
      <c r="E173" s="11"/>
      <c r="F173" s="34">
        <v>17.946999999999999</v>
      </c>
      <c r="G173" s="81">
        <v>45.451999999999998</v>
      </c>
      <c r="H173" s="30">
        <f t="shared" si="2"/>
        <v>27.504999999999999</v>
      </c>
    </row>
    <row r="174" spans="1:8" x14ac:dyDescent="0.3">
      <c r="A174" s="72"/>
      <c r="B174" s="72"/>
      <c r="C174" s="10" t="s">
        <v>71</v>
      </c>
      <c r="D174" s="10" t="s">
        <v>8</v>
      </c>
      <c r="E174" s="11"/>
      <c r="F174" s="34">
        <v>3.24</v>
      </c>
      <c r="G174" s="81">
        <v>3.24</v>
      </c>
      <c r="H174" s="30">
        <f t="shared" si="2"/>
        <v>0</v>
      </c>
    </row>
    <row r="175" spans="1:8" x14ac:dyDescent="0.3">
      <c r="A175" s="72"/>
      <c r="B175" s="72"/>
      <c r="C175" s="10">
        <v>48022115</v>
      </c>
      <c r="D175" s="10" t="s">
        <v>10</v>
      </c>
      <c r="E175" s="59">
        <v>1</v>
      </c>
      <c r="F175" s="34">
        <v>206.79</v>
      </c>
      <c r="G175" s="81">
        <v>544.24</v>
      </c>
      <c r="H175" s="30">
        <f t="shared" si="2"/>
        <v>337.45000000000005</v>
      </c>
    </row>
    <row r="176" spans="1:8" x14ac:dyDescent="0.3">
      <c r="A176" s="71" t="s">
        <v>411</v>
      </c>
      <c r="B176" s="71" t="s">
        <v>406</v>
      </c>
      <c r="C176" s="4">
        <v>11466657</v>
      </c>
      <c r="D176" s="4" t="s">
        <v>6</v>
      </c>
      <c r="E176" s="6"/>
      <c r="F176" s="36">
        <v>182.08</v>
      </c>
      <c r="G176" s="35">
        <v>182.08</v>
      </c>
      <c r="H176" s="30">
        <f t="shared" si="2"/>
        <v>0</v>
      </c>
    </row>
    <row r="177" spans="1:8" x14ac:dyDescent="0.3">
      <c r="A177" s="71"/>
      <c r="B177" s="71"/>
      <c r="C177" s="4">
        <v>11466742</v>
      </c>
      <c r="D177" s="4" t="s">
        <v>6</v>
      </c>
      <c r="E177" s="6"/>
      <c r="F177" s="36">
        <v>7.1999999999999995E-2</v>
      </c>
      <c r="G177" s="35">
        <v>7.1999999999999995E-2</v>
      </c>
      <c r="H177" s="30">
        <f t="shared" si="2"/>
        <v>0</v>
      </c>
    </row>
    <row r="178" spans="1:8" x14ac:dyDescent="0.3">
      <c r="A178" s="71"/>
      <c r="B178" s="71"/>
      <c r="C178" s="4">
        <v>11466934</v>
      </c>
      <c r="D178" s="4" t="s">
        <v>6</v>
      </c>
      <c r="E178" s="6"/>
      <c r="F178" s="36">
        <v>4.2000000000000003E-2</v>
      </c>
      <c r="G178" s="35">
        <v>4.2000000000000003E-2</v>
      </c>
      <c r="H178" s="30">
        <f t="shared" si="2"/>
        <v>0</v>
      </c>
    </row>
    <row r="179" spans="1:8" x14ac:dyDescent="0.3">
      <c r="A179" s="71"/>
      <c r="B179" s="71"/>
      <c r="C179" s="4">
        <v>10971489</v>
      </c>
      <c r="D179" s="4" t="s">
        <v>6</v>
      </c>
      <c r="E179" s="6"/>
      <c r="F179" s="36">
        <v>0.74099999999999999</v>
      </c>
      <c r="G179" s="35">
        <v>0.74099999999999999</v>
      </c>
      <c r="H179" s="30">
        <f t="shared" si="2"/>
        <v>0</v>
      </c>
    </row>
    <row r="180" spans="1:8" x14ac:dyDescent="0.3">
      <c r="A180" s="71"/>
      <c r="B180" s="71"/>
      <c r="C180" s="4">
        <v>10971173</v>
      </c>
      <c r="D180" s="4" t="s">
        <v>6</v>
      </c>
      <c r="E180" s="6"/>
      <c r="F180" s="36">
        <v>0.89800000000000002</v>
      </c>
      <c r="G180" s="36">
        <v>0.89800000000000002</v>
      </c>
      <c r="H180" s="30">
        <f t="shared" si="2"/>
        <v>0</v>
      </c>
    </row>
    <row r="181" spans="1:8" x14ac:dyDescent="0.3">
      <c r="A181" s="71"/>
      <c r="B181" s="71"/>
      <c r="C181" s="4">
        <v>11466682</v>
      </c>
      <c r="D181" s="4" t="s">
        <v>8</v>
      </c>
      <c r="E181" s="6"/>
      <c r="F181" s="36">
        <v>0.08</v>
      </c>
      <c r="G181" s="36">
        <v>0.08</v>
      </c>
      <c r="H181" s="30">
        <f t="shared" si="2"/>
        <v>0</v>
      </c>
    </row>
    <row r="182" spans="1:8" x14ac:dyDescent="0.3">
      <c r="A182" s="71"/>
      <c r="B182" s="71"/>
      <c r="C182" s="4">
        <v>11466814</v>
      </c>
      <c r="D182" s="4" t="s">
        <v>8</v>
      </c>
      <c r="E182" s="6"/>
      <c r="F182" s="36">
        <v>0.05</v>
      </c>
      <c r="G182" s="35">
        <v>0.05</v>
      </c>
      <c r="H182" s="30">
        <f t="shared" si="2"/>
        <v>0</v>
      </c>
    </row>
    <row r="183" spans="1:8" x14ac:dyDescent="0.3">
      <c r="A183" s="71"/>
      <c r="B183" s="71"/>
      <c r="C183" s="4">
        <v>11466734</v>
      </c>
      <c r="D183" s="4" t="s">
        <v>8</v>
      </c>
      <c r="E183" s="6"/>
      <c r="F183" s="36">
        <v>5.8000000000000003E-2</v>
      </c>
      <c r="G183" s="35">
        <v>5.8000000000000003E-2</v>
      </c>
      <c r="H183" s="30">
        <f t="shared" si="2"/>
        <v>0</v>
      </c>
    </row>
    <row r="184" spans="1:8" x14ac:dyDescent="0.3">
      <c r="A184" s="71"/>
      <c r="B184" s="71"/>
      <c r="C184" s="4">
        <v>11466850</v>
      </c>
      <c r="D184" s="4" t="s">
        <v>8</v>
      </c>
      <c r="E184" s="6"/>
      <c r="F184" s="36">
        <v>0.58399999999999996</v>
      </c>
      <c r="G184" s="35">
        <v>0.58399999999999996</v>
      </c>
      <c r="H184" s="30">
        <f t="shared" si="2"/>
        <v>0</v>
      </c>
    </row>
    <row r="185" spans="1:8" x14ac:dyDescent="0.3">
      <c r="A185" s="71"/>
      <c r="B185" s="71"/>
      <c r="C185" s="4">
        <v>11466738</v>
      </c>
      <c r="D185" s="4" t="s">
        <v>8</v>
      </c>
      <c r="E185" s="6"/>
      <c r="F185" s="36">
        <v>0.27800000000000002</v>
      </c>
      <c r="G185" s="36">
        <v>0.27800000000000002</v>
      </c>
      <c r="H185" s="30">
        <f t="shared" si="2"/>
        <v>0</v>
      </c>
    </row>
    <row r="186" spans="1:8" x14ac:dyDescent="0.3">
      <c r="A186" s="71"/>
      <c r="B186" s="71"/>
      <c r="C186" s="4">
        <v>47947303</v>
      </c>
      <c r="D186" s="4" t="s">
        <v>274</v>
      </c>
      <c r="E186" s="45">
        <v>16</v>
      </c>
      <c r="F186" s="36">
        <v>0.87</v>
      </c>
      <c r="G186" s="35">
        <v>0.87</v>
      </c>
      <c r="H186" s="30">
        <f t="shared" si="2"/>
        <v>0</v>
      </c>
    </row>
    <row r="187" spans="1:8" x14ac:dyDescent="0.3">
      <c r="A187" s="71"/>
      <c r="B187" s="71"/>
      <c r="C187" s="4">
        <v>47649491</v>
      </c>
      <c r="D187" s="4" t="s">
        <v>10</v>
      </c>
      <c r="E187" s="45">
        <v>30</v>
      </c>
      <c r="F187" s="36">
        <v>0.45</v>
      </c>
      <c r="G187" s="35">
        <v>0.45</v>
      </c>
      <c r="H187" s="30">
        <f t="shared" si="2"/>
        <v>0</v>
      </c>
    </row>
    <row r="188" spans="1:8" x14ac:dyDescent="0.3">
      <c r="A188" s="72" t="s">
        <v>411</v>
      </c>
      <c r="B188" s="72" t="s">
        <v>407</v>
      </c>
      <c r="C188" s="10">
        <v>11466798</v>
      </c>
      <c r="D188" s="10" t="s">
        <v>6</v>
      </c>
      <c r="E188" s="11"/>
      <c r="F188" s="34">
        <v>9.0999999999999998E-2</v>
      </c>
      <c r="G188" s="81">
        <v>9.0999999999999998E-2</v>
      </c>
      <c r="H188" s="30">
        <f t="shared" si="2"/>
        <v>0</v>
      </c>
    </row>
    <row r="189" spans="1:8" x14ac:dyDescent="0.3">
      <c r="A189" s="72"/>
      <c r="B189" s="72"/>
      <c r="C189" s="10">
        <v>11466926</v>
      </c>
      <c r="D189" s="10" t="s">
        <v>6</v>
      </c>
      <c r="E189" s="11"/>
      <c r="F189" s="34">
        <v>3.9E-2</v>
      </c>
      <c r="G189" s="81">
        <v>3.9E-2</v>
      </c>
      <c r="H189" s="30">
        <f t="shared" si="2"/>
        <v>0</v>
      </c>
    </row>
    <row r="190" spans="1:8" x14ac:dyDescent="0.3">
      <c r="A190" s="72"/>
      <c r="B190" s="72"/>
      <c r="C190" s="10">
        <v>11466748</v>
      </c>
      <c r="D190" s="10" t="s">
        <v>6</v>
      </c>
      <c r="E190" s="11"/>
      <c r="F190" s="34">
        <v>4.3999999999999997E-2</v>
      </c>
      <c r="G190" s="81">
        <v>4.3999999999999997E-2</v>
      </c>
      <c r="H190" s="30">
        <f t="shared" si="2"/>
        <v>0</v>
      </c>
    </row>
    <row r="191" spans="1:8" x14ac:dyDescent="0.3">
      <c r="A191" s="72"/>
      <c r="B191" s="72"/>
      <c r="C191" s="10">
        <v>10972574</v>
      </c>
      <c r="D191" s="10" t="s">
        <v>6</v>
      </c>
      <c r="E191" s="11"/>
      <c r="F191" s="34">
        <v>1.8859999999999999</v>
      </c>
      <c r="G191" s="34">
        <v>1.8859999999999999</v>
      </c>
      <c r="H191" s="30">
        <f t="shared" si="2"/>
        <v>0</v>
      </c>
    </row>
    <row r="192" spans="1:8" x14ac:dyDescent="0.3">
      <c r="A192" s="72"/>
      <c r="B192" s="72"/>
      <c r="C192" s="10">
        <v>11466744</v>
      </c>
      <c r="D192" s="10" t="s">
        <v>6</v>
      </c>
      <c r="E192" s="11"/>
      <c r="F192" s="34">
        <v>2.1059999999999999</v>
      </c>
      <c r="G192" s="81">
        <v>3.2480000000000002</v>
      </c>
      <c r="H192" s="30">
        <f t="shared" si="2"/>
        <v>1.1420000000000003</v>
      </c>
    </row>
    <row r="193" spans="1:8" x14ac:dyDescent="0.3">
      <c r="A193" s="72"/>
      <c r="B193" s="72"/>
      <c r="C193" s="10">
        <v>11466673</v>
      </c>
      <c r="D193" s="10" t="s">
        <v>8</v>
      </c>
      <c r="E193" s="11"/>
      <c r="F193" s="34">
        <v>3.9E-2</v>
      </c>
      <c r="G193" s="81">
        <v>3.9E-2</v>
      </c>
      <c r="H193" s="30">
        <f t="shared" si="2"/>
        <v>0</v>
      </c>
    </row>
    <row r="194" spans="1:8" x14ac:dyDescent="0.3">
      <c r="A194" s="72"/>
      <c r="B194" s="72"/>
      <c r="C194" s="10">
        <v>10968495</v>
      </c>
      <c r="D194" s="10" t="s">
        <v>8</v>
      </c>
      <c r="E194" s="11"/>
      <c r="F194" s="34">
        <v>4.2999999999999997E-2</v>
      </c>
      <c r="G194" s="81">
        <v>4.2999999999999997E-2</v>
      </c>
      <c r="H194" s="30">
        <f t="shared" ref="H194:H257" si="3">G194-F194</f>
        <v>0</v>
      </c>
    </row>
    <row r="195" spans="1:8" x14ac:dyDescent="0.3">
      <c r="A195" s="72"/>
      <c r="B195" s="72"/>
      <c r="C195" s="10">
        <v>11466736</v>
      </c>
      <c r="D195" s="10" t="s">
        <v>8</v>
      </c>
      <c r="E195" s="11"/>
      <c r="F195" s="34">
        <v>1.163</v>
      </c>
      <c r="G195" s="81">
        <v>1.163</v>
      </c>
      <c r="H195" s="30">
        <f t="shared" si="3"/>
        <v>0</v>
      </c>
    </row>
    <row r="196" spans="1:8" x14ac:dyDescent="0.3">
      <c r="A196" s="72"/>
      <c r="B196" s="72"/>
      <c r="C196" s="10">
        <v>11466857</v>
      </c>
      <c r="D196" s="10" t="s">
        <v>8</v>
      </c>
      <c r="E196" s="11"/>
      <c r="F196" s="34">
        <v>0.21199999999999999</v>
      </c>
      <c r="G196" s="34">
        <v>0.21199999999999999</v>
      </c>
      <c r="H196" s="30">
        <f t="shared" si="3"/>
        <v>0</v>
      </c>
    </row>
    <row r="197" spans="1:8" x14ac:dyDescent="0.3">
      <c r="A197" s="72"/>
      <c r="B197" s="72"/>
      <c r="C197" s="10">
        <v>11466750</v>
      </c>
      <c r="D197" s="10" t="s">
        <v>8</v>
      </c>
      <c r="E197" s="11"/>
      <c r="F197" s="34">
        <v>0.41799999999999998</v>
      </c>
      <c r="G197" s="81">
        <v>0.67500000000000004</v>
      </c>
      <c r="H197" s="30">
        <f t="shared" si="3"/>
        <v>0.25700000000000006</v>
      </c>
    </row>
    <row r="198" spans="1:8" x14ac:dyDescent="0.3">
      <c r="A198" s="72"/>
      <c r="B198" s="72"/>
      <c r="C198" s="10">
        <v>48030532</v>
      </c>
      <c r="D198" s="10" t="s">
        <v>274</v>
      </c>
      <c r="E198" s="59">
        <v>16</v>
      </c>
      <c r="F198" s="34">
        <v>0.53</v>
      </c>
      <c r="G198" s="81">
        <v>3.86</v>
      </c>
      <c r="H198" s="30">
        <f t="shared" si="3"/>
        <v>3.33</v>
      </c>
    </row>
    <row r="199" spans="1:8" x14ac:dyDescent="0.3">
      <c r="A199" s="72"/>
      <c r="B199" s="72"/>
      <c r="C199" s="10">
        <v>47948016</v>
      </c>
      <c r="D199" s="10" t="s">
        <v>10</v>
      </c>
      <c r="E199" s="59">
        <v>30</v>
      </c>
      <c r="F199" s="34">
        <v>178.75</v>
      </c>
      <c r="G199" s="81">
        <v>189.23</v>
      </c>
      <c r="H199" s="30">
        <f t="shared" si="3"/>
        <v>10.47999999999999</v>
      </c>
    </row>
    <row r="200" spans="1:8" x14ac:dyDescent="0.3">
      <c r="A200" s="72" t="s">
        <v>72</v>
      </c>
      <c r="B200" s="72" t="s">
        <v>326</v>
      </c>
      <c r="C200" s="10" t="s">
        <v>73</v>
      </c>
      <c r="D200" s="10" t="s">
        <v>6</v>
      </c>
      <c r="E200" s="11"/>
      <c r="F200" s="34">
        <v>0.27400000000000002</v>
      </c>
      <c r="G200" s="81">
        <v>6.3079999999999998</v>
      </c>
      <c r="H200" s="30">
        <f t="shared" si="3"/>
        <v>6.0339999999999998</v>
      </c>
    </row>
    <row r="201" spans="1:8" x14ac:dyDescent="0.3">
      <c r="A201" s="72"/>
      <c r="B201" s="72"/>
      <c r="C201" s="10" t="s">
        <v>74</v>
      </c>
      <c r="D201" s="10" t="s">
        <v>6</v>
      </c>
      <c r="E201" s="11"/>
      <c r="F201" s="34">
        <v>0.18</v>
      </c>
      <c r="G201" s="81">
        <v>0.18</v>
      </c>
      <c r="H201" s="30">
        <f t="shared" si="3"/>
        <v>0</v>
      </c>
    </row>
    <row r="202" spans="1:8" x14ac:dyDescent="0.3">
      <c r="A202" s="72"/>
      <c r="B202" s="72"/>
      <c r="C202" s="10" t="s">
        <v>75</v>
      </c>
      <c r="D202" s="10" t="s">
        <v>6</v>
      </c>
      <c r="E202" s="11"/>
      <c r="F202" s="34">
        <v>65.498000000000005</v>
      </c>
      <c r="G202" s="81">
        <v>93.266999999999996</v>
      </c>
      <c r="H202" s="30">
        <f t="shared" si="3"/>
        <v>27.768999999999991</v>
      </c>
    </row>
    <row r="203" spans="1:8" x14ac:dyDescent="0.3">
      <c r="A203" s="72"/>
      <c r="B203" s="72"/>
      <c r="C203" s="10" t="s">
        <v>76</v>
      </c>
      <c r="D203" s="10" t="s">
        <v>6</v>
      </c>
      <c r="E203" s="11"/>
      <c r="F203" s="34">
        <v>275.303</v>
      </c>
      <c r="G203" s="81">
        <v>275.63600000000002</v>
      </c>
      <c r="H203" s="30">
        <f t="shared" si="3"/>
        <v>0.33300000000002683</v>
      </c>
    </row>
    <row r="204" spans="1:8" x14ac:dyDescent="0.3">
      <c r="A204" s="72"/>
      <c r="B204" s="72"/>
      <c r="C204" s="10" t="s">
        <v>77</v>
      </c>
      <c r="D204" s="10" t="s">
        <v>6</v>
      </c>
      <c r="E204" s="11"/>
      <c r="F204" s="34">
        <v>5.7549999999999999</v>
      </c>
      <c r="G204" s="81">
        <v>7.8739999999999997</v>
      </c>
      <c r="H204" s="30">
        <f t="shared" si="3"/>
        <v>2.1189999999999998</v>
      </c>
    </row>
    <row r="205" spans="1:8" x14ac:dyDescent="0.3">
      <c r="A205" s="72"/>
      <c r="B205" s="72"/>
      <c r="C205" s="10" t="s">
        <v>78</v>
      </c>
      <c r="D205" s="10" t="s">
        <v>8</v>
      </c>
      <c r="E205" s="11"/>
      <c r="F205" s="34">
        <v>9.5000000000000001E-2</v>
      </c>
      <c r="G205" s="34">
        <v>9.5000000000000001E-2</v>
      </c>
      <c r="H205" s="30">
        <f t="shared" si="3"/>
        <v>0</v>
      </c>
    </row>
    <row r="206" spans="1:8" x14ac:dyDescent="0.3">
      <c r="A206" s="72"/>
      <c r="B206" s="72"/>
      <c r="C206" s="10" t="s">
        <v>79</v>
      </c>
      <c r="D206" s="10" t="s">
        <v>8</v>
      </c>
      <c r="E206" s="11"/>
      <c r="F206" s="34">
        <v>0.17499999999999999</v>
      </c>
      <c r="G206" s="81">
        <v>1.272</v>
      </c>
      <c r="H206" s="30">
        <f t="shared" si="3"/>
        <v>1.097</v>
      </c>
    </row>
    <row r="207" spans="1:8" x14ac:dyDescent="0.3">
      <c r="A207" s="72"/>
      <c r="B207" s="72"/>
      <c r="C207" s="10" t="s">
        <v>80</v>
      </c>
      <c r="D207" s="10" t="s">
        <v>8</v>
      </c>
      <c r="E207" s="11"/>
      <c r="F207" s="34">
        <v>9.782</v>
      </c>
      <c r="G207" s="34">
        <v>9.782</v>
      </c>
      <c r="H207" s="30">
        <f t="shared" si="3"/>
        <v>0</v>
      </c>
    </row>
    <row r="208" spans="1:8" x14ac:dyDescent="0.3">
      <c r="A208" s="72"/>
      <c r="B208" s="72"/>
      <c r="C208" s="10" t="s">
        <v>81</v>
      </c>
      <c r="D208" s="10" t="s">
        <v>8</v>
      </c>
      <c r="E208" s="11"/>
      <c r="F208" s="34">
        <v>20.532</v>
      </c>
      <c r="G208" s="81">
        <v>20.532</v>
      </c>
      <c r="H208" s="30">
        <f t="shared" si="3"/>
        <v>0</v>
      </c>
    </row>
    <row r="209" spans="1:8" x14ac:dyDescent="0.3">
      <c r="A209" s="72"/>
      <c r="B209" s="72"/>
      <c r="C209" s="10" t="s">
        <v>82</v>
      </c>
      <c r="D209" s="10" t="s">
        <v>8</v>
      </c>
      <c r="E209" s="11"/>
      <c r="F209" s="34">
        <v>3.4000000000000002E-2</v>
      </c>
      <c r="G209" s="81">
        <v>3.4000000000000002E-2</v>
      </c>
      <c r="H209" s="30">
        <f t="shared" si="3"/>
        <v>0</v>
      </c>
    </row>
    <row r="210" spans="1:8" x14ac:dyDescent="0.3">
      <c r="A210" s="72"/>
      <c r="B210" s="72"/>
      <c r="C210" s="10" t="s">
        <v>369</v>
      </c>
      <c r="D210" s="10" t="s">
        <v>274</v>
      </c>
      <c r="E210" s="59">
        <v>16</v>
      </c>
      <c r="F210" s="34">
        <v>0.74</v>
      </c>
      <c r="G210" s="81">
        <v>0.74</v>
      </c>
      <c r="H210" s="30">
        <f t="shared" si="3"/>
        <v>0</v>
      </c>
    </row>
    <row r="211" spans="1:8" x14ac:dyDescent="0.3">
      <c r="A211" s="72"/>
      <c r="B211" s="72"/>
      <c r="C211" s="10" t="s">
        <v>276</v>
      </c>
      <c r="D211" s="10" t="s">
        <v>10</v>
      </c>
      <c r="E211" s="59">
        <v>30</v>
      </c>
      <c r="F211" s="34">
        <v>129.86000000000001</v>
      </c>
      <c r="G211" s="81">
        <v>177.48</v>
      </c>
      <c r="H211" s="30">
        <f t="shared" si="3"/>
        <v>47.619999999999976</v>
      </c>
    </row>
    <row r="212" spans="1:8" x14ac:dyDescent="0.3">
      <c r="A212" s="72" t="s">
        <v>83</v>
      </c>
      <c r="B212" s="72" t="s">
        <v>327</v>
      </c>
      <c r="C212" s="10" t="s">
        <v>84</v>
      </c>
      <c r="D212" s="10" t="s">
        <v>6</v>
      </c>
      <c r="E212" s="11"/>
      <c r="F212" s="34">
        <v>1.337</v>
      </c>
      <c r="G212" s="81">
        <v>1.347</v>
      </c>
      <c r="H212" s="30">
        <f t="shared" si="3"/>
        <v>1.0000000000000009E-2</v>
      </c>
    </row>
    <row r="213" spans="1:8" x14ac:dyDescent="0.3">
      <c r="A213" s="72"/>
      <c r="B213" s="72"/>
      <c r="C213" s="10" t="s">
        <v>85</v>
      </c>
      <c r="D213" s="10" t="s">
        <v>6</v>
      </c>
      <c r="E213" s="11"/>
      <c r="F213" s="34">
        <v>0.104</v>
      </c>
      <c r="G213" s="81">
        <v>0.14799999999999999</v>
      </c>
      <c r="H213" s="30">
        <f t="shared" si="3"/>
        <v>4.3999999999999997E-2</v>
      </c>
    </row>
    <row r="214" spans="1:8" x14ac:dyDescent="0.3">
      <c r="A214" s="72"/>
      <c r="B214" s="72"/>
      <c r="C214" s="10" t="s">
        <v>86</v>
      </c>
      <c r="D214" s="10" t="s">
        <v>6</v>
      </c>
      <c r="E214" s="11"/>
      <c r="F214" s="34">
        <v>9.7469999999999999</v>
      </c>
      <c r="G214" s="81">
        <v>18.414000000000001</v>
      </c>
      <c r="H214" s="30">
        <f t="shared" si="3"/>
        <v>8.6670000000000016</v>
      </c>
    </row>
    <row r="215" spans="1:8" x14ac:dyDescent="0.3">
      <c r="A215" s="72"/>
      <c r="B215" s="72"/>
      <c r="C215" s="10" t="s">
        <v>87</v>
      </c>
      <c r="D215" s="10" t="s">
        <v>6</v>
      </c>
      <c r="E215" s="11"/>
      <c r="F215" s="34">
        <v>0.36899999999999999</v>
      </c>
      <c r="G215" s="81">
        <v>0.372</v>
      </c>
      <c r="H215" s="30">
        <f t="shared" si="3"/>
        <v>3.0000000000000027E-3</v>
      </c>
    </row>
    <row r="216" spans="1:8" x14ac:dyDescent="0.3">
      <c r="A216" s="72"/>
      <c r="B216" s="72"/>
      <c r="C216" s="10" t="s">
        <v>88</v>
      </c>
      <c r="D216" s="10" t="s">
        <v>6</v>
      </c>
      <c r="E216" s="11"/>
      <c r="F216" s="34">
        <v>424.709</v>
      </c>
      <c r="G216" s="81">
        <v>424.709</v>
      </c>
      <c r="H216" s="30">
        <f t="shared" si="3"/>
        <v>0</v>
      </c>
    </row>
    <row r="217" spans="1:8" x14ac:dyDescent="0.3">
      <c r="A217" s="72"/>
      <c r="B217" s="72"/>
      <c r="C217" s="10" t="s">
        <v>89</v>
      </c>
      <c r="D217" s="10" t="s">
        <v>8</v>
      </c>
      <c r="E217" s="11"/>
      <c r="F217" s="34">
        <v>0.76100000000000001</v>
      </c>
      <c r="G217" s="81">
        <v>0.76100000000000001</v>
      </c>
      <c r="H217" s="30">
        <f t="shared" si="3"/>
        <v>0</v>
      </c>
    </row>
    <row r="218" spans="1:8" x14ac:dyDescent="0.3">
      <c r="A218" s="72"/>
      <c r="B218" s="72"/>
      <c r="C218" s="10" t="s">
        <v>90</v>
      </c>
      <c r="D218" s="10" t="s">
        <v>8</v>
      </c>
      <c r="E218" s="11"/>
      <c r="F218" s="34">
        <v>6.5919999999999996</v>
      </c>
      <c r="G218" s="81">
        <v>6.9130000000000003</v>
      </c>
      <c r="H218" s="30">
        <f t="shared" si="3"/>
        <v>0.32100000000000062</v>
      </c>
    </row>
    <row r="219" spans="1:8" x14ac:dyDescent="0.3">
      <c r="A219" s="72"/>
      <c r="B219" s="72"/>
      <c r="C219" s="10" t="s">
        <v>91</v>
      </c>
      <c r="D219" s="10" t="s">
        <v>8</v>
      </c>
      <c r="E219" s="11"/>
      <c r="F219" s="34">
        <v>0.63500000000000001</v>
      </c>
      <c r="G219" s="34">
        <v>0.63500000000000001</v>
      </c>
      <c r="H219" s="30">
        <f t="shared" si="3"/>
        <v>0</v>
      </c>
    </row>
    <row r="220" spans="1:8" x14ac:dyDescent="0.3">
      <c r="A220" s="72"/>
      <c r="B220" s="72"/>
      <c r="C220" s="10" t="s">
        <v>92</v>
      </c>
      <c r="D220" s="10" t="s">
        <v>8</v>
      </c>
      <c r="E220" s="11"/>
      <c r="F220" s="34">
        <v>0.311</v>
      </c>
      <c r="G220" s="81">
        <v>0.311</v>
      </c>
      <c r="H220" s="30">
        <f t="shared" si="3"/>
        <v>0</v>
      </c>
    </row>
    <row r="221" spans="1:8" x14ac:dyDescent="0.3">
      <c r="A221" s="72"/>
      <c r="B221" s="72"/>
      <c r="C221" s="10" t="s">
        <v>93</v>
      </c>
      <c r="D221" s="10" t="s">
        <v>8</v>
      </c>
      <c r="E221" s="11"/>
      <c r="F221" s="34">
        <v>6.9000000000000006E-2</v>
      </c>
      <c r="G221" s="81">
        <v>6.9000000000000006E-2</v>
      </c>
      <c r="H221" s="30">
        <f t="shared" si="3"/>
        <v>0</v>
      </c>
    </row>
    <row r="222" spans="1:8" x14ac:dyDescent="0.3">
      <c r="A222" s="72"/>
      <c r="B222" s="72"/>
      <c r="C222" s="10" t="s">
        <v>370</v>
      </c>
      <c r="D222" s="10" t="s">
        <v>274</v>
      </c>
      <c r="E222" s="59">
        <v>16</v>
      </c>
      <c r="F222" s="34">
        <v>0.65</v>
      </c>
      <c r="G222" s="81">
        <v>0.65</v>
      </c>
      <c r="H222" s="30">
        <f t="shared" si="3"/>
        <v>0</v>
      </c>
    </row>
    <row r="223" spans="1:8" x14ac:dyDescent="0.3">
      <c r="A223" s="72"/>
      <c r="B223" s="72"/>
      <c r="C223" s="10" t="s">
        <v>94</v>
      </c>
      <c r="D223" s="10" t="s">
        <v>10</v>
      </c>
      <c r="E223" s="59">
        <v>30</v>
      </c>
      <c r="F223" s="34">
        <v>47.1</v>
      </c>
      <c r="G223" s="81">
        <v>70.81</v>
      </c>
      <c r="H223" s="30">
        <f t="shared" si="3"/>
        <v>23.71</v>
      </c>
    </row>
    <row r="224" spans="1:8" x14ac:dyDescent="0.3">
      <c r="A224" s="72" t="s">
        <v>83</v>
      </c>
      <c r="B224" s="72" t="s">
        <v>328</v>
      </c>
      <c r="C224" s="10" t="s">
        <v>95</v>
      </c>
      <c r="D224" s="10" t="s">
        <v>6</v>
      </c>
      <c r="E224" s="11"/>
      <c r="F224" s="34">
        <v>0.106</v>
      </c>
      <c r="G224" s="81">
        <v>0.106</v>
      </c>
      <c r="H224" s="30">
        <f t="shared" si="3"/>
        <v>0</v>
      </c>
    </row>
    <row r="225" spans="1:8" x14ac:dyDescent="0.3">
      <c r="A225" s="72"/>
      <c r="B225" s="72"/>
      <c r="C225" s="10" t="s">
        <v>96</v>
      </c>
      <c r="D225" s="10" t="s">
        <v>6</v>
      </c>
      <c r="E225" s="11"/>
      <c r="F225" s="34">
        <v>0.55800000000000005</v>
      </c>
      <c r="G225" s="81">
        <v>0.55800000000000005</v>
      </c>
      <c r="H225" s="30">
        <f t="shared" si="3"/>
        <v>0</v>
      </c>
    </row>
    <row r="226" spans="1:8" x14ac:dyDescent="0.3">
      <c r="A226" s="72"/>
      <c r="B226" s="72"/>
      <c r="C226" s="10" t="s">
        <v>97</v>
      </c>
      <c r="D226" s="10" t="s">
        <v>6</v>
      </c>
      <c r="E226" s="11"/>
      <c r="F226" s="34">
        <v>21.536999999999999</v>
      </c>
      <c r="G226" s="81">
        <v>22.218</v>
      </c>
      <c r="H226" s="30">
        <f t="shared" si="3"/>
        <v>0.68100000000000094</v>
      </c>
    </row>
    <row r="227" spans="1:8" x14ac:dyDescent="0.3">
      <c r="A227" s="72"/>
      <c r="B227" s="72"/>
      <c r="C227" s="10" t="s">
        <v>98</v>
      </c>
      <c r="D227" s="10" t="s">
        <v>6</v>
      </c>
      <c r="E227" s="11"/>
      <c r="F227" s="34">
        <v>0.54300000000000004</v>
      </c>
      <c r="G227" s="81">
        <v>0.54300000000000004</v>
      </c>
      <c r="H227" s="30">
        <f t="shared" si="3"/>
        <v>0</v>
      </c>
    </row>
    <row r="228" spans="1:8" x14ac:dyDescent="0.3">
      <c r="A228" s="72"/>
      <c r="B228" s="72"/>
      <c r="C228" s="10" t="s">
        <v>99</v>
      </c>
      <c r="D228" s="10" t="s">
        <v>6</v>
      </c>
      <c r="E228" s="11"/>
      <c r="F228" s="34">
        <v>0.217</v>
      </c>
      <c r="G228" s="81">
        <v>0.217</v>
      </c>
      <c r="H228" s="30">
        <f t="shared" si="3"/>
        <v>0</v>
      </c>
    </row>
    <row r="229" spans="1:8" x14ac:dyDescent="0.3">
      <c r="A229" s="72"/>
      <c r="B229" s="72"/>
      <c r="C229" s="10" t="s">
        <v>100</v>
      </c>
      <c r="D229" s="10" t="s">
        <v>8</v>
      </c>
      <c r="E229" s="11"/>
      <c r="F229" s="34">
        <v>0.66200000000000003</v>
      </c>
      <c r="G229" s="81">
        <v>0.66900000000000004</v>
      </c>
      <c r="H229" s="30">
        <f t="shared" si="3"/>
        <v>7.0000000000000062E-3</v>
      </c>
    </row>
    <row r="230" spans="1:8" x14ac:dyDescent="0.3">
      <c r="A230" s="72"/>
      <c r="B230" s="72"/>
      <c r="C230" s="10" t="s">
        <v>101</v>
      </c>
      <c r="D230" s="10" t="s">
        <v>8</v>
      </c>
      <c r="E230" s="11"/>
      <c r="F230" s="34">
        <v>2.8380000000000001</v>
      </c>
      <c r="G230" s="81">
        <v>10.766</v>
      </c>
      <c r="H230" s="30">
        <f t="shared" si="3"/>
        <v>7.9279999999999999</v>
      </c>
    </row>
    <row r="231" spans="1:8" x14ac:dyDescent="0.3">
      <c r="A231" s="72"/>
      <c r="B231" s="72"/>
      <c r="C231" s="10" t="s">
        <v>102</v>
      </c>
      <c r="D231" s="10" t="s">
        <v>8</v>
      </c>
      <c r="E231" s="11"/>
      <c r="F231" s="34">
        <v>0.159</v>
      </c>
      <c r="G231" s="81">
        <v>0.159</v>
      </c>
      <c r="H231" s="30">
        <f t="shared" si="3"/>
        <v>0</v>
      </c>
    </row>
    <row r="232" spans="1:8" x14ac:dyDescent="0.3">
      <c r="A232" s="72"/>
      <c r="B232" s="72"/>
      <c r="C232" s="10" t="s">
        <v>103</v>
      </c>
      <c r="D232" s="10" t="s">
        <v>8</v>
      </c>
      <c r="E232" s="11"/>
      <c r="F232" s="34">
        <v>0.24299999999999999</v>
      </c>
      <c r="G232" s="81">
        <v>0.24299999999999999</v>
      </c>
      <c r="H232" s="30">
        <f t="shared" si="3"/>
        <v>0</v>
      </c>
    </row>
    <row r="233" spans="1:8" x14ac:dyDescent="0.3">
      <c r="A233" s="72"/>
      <c r="B233" s="72"/>
      <c r="C233" s="10" t="s">
        <v>104</v>
      </c>
      <c r="D233" s="10" t="s">
        <v>8</v>
      </c>
      <c r="E233" s="11"/>
      <c r="F233" s="34">
        <v>3.6999999999999998E-2</v>
      </c>
      <c r="G233" s="81">
        <v>3.6999999999999998E-2</v>
      </c>
      <c r="H233" s="30">
        <f t="shared" si="3"/>
        <v>0</v>
      </c>
    </row>
    <row r="234" spans="1:8" x14ac:dyDescent="0.3">
      <c r="A234" s="72"/>
      <c r="B234" s="72"/>
      <c r="C234" s="10" t="s">
        <v>105</v>
      </c>
      <c r="D234" s="10" t="s">
        <v>10</v>
      </c>
      <c r="E234" s="59">
        <v>30</v>
      </c>
      <c r="F234" s="34">
        <v>49.67</v>
      </c>
      <c r="G234" s="81">
        <v>74.489999999999995</v>
      </c>
      <c r="H234" s="30">
        <f t="shared" si="3"/>
        <v>24.819999999999993</v>
      </c>
    </row>
    <row r="235" spans="1:8" x14ac:dyDescent="0.3">
      <c r="A235" s="72"/>
      <c r="B235" s="72"/>
      <c r="C235" s="10" t="s">
        <v>275</v>
      </c>
      <c r="D235" s="10" t="s">
        <v>274</v>
      </c>
      <c r="E235" s="59">
        <v>16</v>
      </c>
      <c r="F235" s="34">
        <v>0.8</v>
      </c>
      <c r="G235" s="81">
        <v>0.8</v>
      </c>
      <c r="H235" s="30">
        <f t="shared" si="3"/>
        <v>0</v>
      </c>
    </row>
    <row r="236" spans="1:8" x14ac:dyDescent="0.3">
      <c r="A236" s="72" t="s">
        <v>83</v>
      </c>
      <c r="B236" s="72" t="s">
        <v>329</v>
      </c>
      <c r="C236" s="10" t="s">
        <v>106</v>
      </c>
      <c r="D236" s="10" t="s">
        <v>6</v>
      </c>
      <c r="E236" s="11"/>
      <c r="F236" s="34">
        <v>5.2999999999999999E-2</v>
      </c>
      <c r="G236" s="81">
        <v>5.2999999999999999E-2</v>
      </c>
      <c r="H236" s="30">
        <f t="shared" si="3"/>
        <v>0</v>
      </c>
    </row>
    <row r="237" spans="1:8" x14ac:dyDescent="0.3">
      <c r="A237" s="72"/>
      <c r="B237" s="72"/>
      <c r="C237" s="10" t="s">
        <v>107</v>
      </c>
      <c r="D237" s="10" t="s">
        <v>6</v>
      </c>
      <c r="E237" s="11"/>
      <c r="F237" s="34">
        <v>0.41499999999999998</v>
      </c>
      <c r="G237" s="81">
        <v>0.41499999999999998</v>
      </c>
      <c r="H237" s="30">
        <f t="shared" si="3"/>
        <v>0</v>
      </c>
    </row>
    <row r="238" spans="1:8" x14ac:dyDescent="0.3">
      <c r="A238" s="72"/>
      <c r="B238" s="72"/>
      <c r="C238" s="10" t="s">
        <v>108</v>
      </c>
      <c r="D238" s="10" t="s">
        <v>6</v>
      </c>
      <c r="E238" s="11"/>
      <c r="F238" s="34">
        <v>31.408000000000001</v>
      </c>
      <c r="G238" s="81">
        <v>31.408000000000001</v>
      </c>
      <c r="H238" s="30">
        <f t="shared" si="3"/>
        <v>0</v>
      </c>
    </row>
    <row r="239" spans="1:8" x14ac:dyDescent="0.3">
      <c r="A239" s="72"/>
      <c r="B239" s="72"/>
      <c r="C239" s="10" t="s">
        <v>109</v>
      </c>
      <c r="D239" s="10" t="s">
        <v>6</v>
      </c>
      <c r="E239" s="11"/>
      <c r="F239" s="34">
        <v>0.86099999999999999</v>
      </c>
      <c r="G239" s="81">
        <v>0.86099999999999999</v>
      </c>
      <c r="H239" s="30">
        <f t="shared" si="3"/>
        <v>0</v>
      </c>
    </row>
    <row r="240" spans="1:8" x14ac:dyDescent="0.3">
      <c r="A240" s="72"/>
      <c r="B240" s="72"/>
      <c r="C240" s="10" t="s">
        <v>110</v>
      </c>
      <c r="D240" s="10" t="s">
        <v>6</v>
      </c>
      <c r="E240" s="11"/>
      <c r="F240" s="34">
        <v>2.9000000000000001E-2</v>
      </c>
      <c r="G240" s="81">
        <v>2.9000000000000001E-2</v>
      </c>
      <c r="H240" s="30">
        <f t="shared" si="3"/>
        <v>0</v>
      </c>
    </row>
    <row r="241" spans="1:8" x14ac:dyDescent="0.3">
      <c r="A241" s="72"/>
      <c r="B241" s="72"/>
      <c r="C241" s="10" t="s">
        <v>111</v>
      </c>
      <c r="D241" s="10" t="s">
        <v>8</v>
      </c>
      <c r="E241" s="11"/>
      <c r="F241" s="34">
        <v>0.81499999999999995</v>
      </c>
      <c r="G241" s="81">
        <v>0.81499999999999995</v>
      </c>
      <c r="H241" s="30">
        <f t="shared" si="3"/>
        <v>0</v>
      </c>
    </row>
    <row r="242" spans="1:8" x14ac:dyDescent="0.3">
      <c r="A242" s="72"/>
      <c r="B242" s="72"/>
      <c r="C242" s="10" t="s">
        <v>112</v>
      </c>
      <c r="D242" s="10" t="s">
        <v>8</v>
      </c>
      <c r="E242" s="11"/>
      <c r="F242" s="34">
        <v>17.975999999999999</v>
      </c>
      <c r="G242" s="81">
        <v>27.617000000000001</v>
      </c>
      <c r="H242" s="30">
        <f t="shared" si="3"/>
        <v>9.6410000000000018</v>
      </c>
    </row>
    <row r="243" spans="1:8" x14ac:dyDescent="0.3">
      <c r="A243" s="72"/>
      <c r="B243" s="72"/>
      <c r="C243" s="10" t="s">
        <v>113</v>
      </c>
      <c r="D243" s="10" t="s">
        <v>8</v>
      </c>
      <c r="E243" s="11"/>
      <c r="F243" s="34">
        <v>0.32600000000000001</v>
      </c>
      <c r="G243" s="81">
        <v>0.32600000000000001</v>
      </c>
      <c r="H243" s="30">
        <f t="shared" si="3"/>
        <v>0</v>
      </c>
    </row>
    <row r="244" spans="1:8" x14ac:dyDescent="0.3">
      <c r="A244" s="72"/>
      <c r="B244" s="72"/>
      <c r="C244" s="10" t="s">
        <v>114</v>
      </c>
      <c r="D244" s="10" t="s">
        <v>8</v>
      </c>
      <c r="E244" s="11"/>
      <c r="F244" s="34">
        <v>0.71299999999999997</v>
      </c>
      <c r="G244" s="81">
        <v>0.71299999999999997</v>
      </c>
      <c r="H244" s="30">
        <f t="shared" si="3"/>
        <v>0</v>
      </c>
    </row>
    <row r="245" spans="1:8" x14ac:dyDescent="0.3">
      <c r="A245" s="72"/>
      <c r="B245" s="72"/>
      <c r="C245" s="10" t="s">
        <v>115</v>
      </c>
      <c r="D245" s="10" t="s">
        <v>8</v>
      </c>
      <c r="E245" s="11"/>
      <c r="F245" s="34">
        <v>0.26100000000000001</v>
      </c>
      <c r="G245" s="81">
        <v>0.26700000000000002</v>
      </c>
      <c r="H245" s="30">
        <f t="shared" si="3"/>
        <v>6.0000000000000053E-3</v>
      </c>
    </row>
    <row r="246" spans="1:8" x14ac:dyDescent="0.3">
      <c r="A246" s="72"/>
      <c r="B246" s="72"/>
      <c r="C246" s="10" t="s">
        <v>371</v>
      </c>
      <c r="D246" s="10" t="s">
        <v>274</v>
      </c>
      <c r="E246" s="59">
        <v>16</v>
      </c>
      <c r="F246" s="34">
        <v>0.59</v>
      </c>
      <c r="G246" s="81">
        <v>0.59</v>
      </c>
      <c r="H246" s="30">
        <f t="shared" si="3"/>
        <v>0</v>
      </c>
    </row>
    <row r="247" spans="1:8" x14ac:dyDescent="0.3">
      <c r="A247" s="72"/>
      <c r="B247" s="72"/>
      <c r="C247" s="10" t="s">
        <v>116</v>
      </c>
      <c r="D247" s="10" t="s">
        <v>10</v>
      </c>
      <c r="E247" s="59">
        <v>30</v>
      </c>
      <c r="F247" s="34">
        <v>64.92</v>
      </c>
      <c r="G247" s="81">
        <v>93.87</v>
      </c>
      <c r="H247" s="30">
        <f t="shared" si="3"/>
        <v>28.950000000000003</v>
      </c>
    </row>
    <row r="248" spans="1:8" x14ac:dyDescent="0.3">
      <c r="A248" s="72" t="s">
        <v>83</v>
      </c>
      <c r="B248" s="72" t="s">
        <v>330</v>
      </c>
      <c r="C248" s="10" t="s">
        <v>117</v>
      </c>
      <c r="D248" s="10" t="s">
        <v>6</v>
      </c>
      <c r="E248" s="11"/>
      <c r="F248" s="34">
        <v>0.314</v>
      </c>
      <c r="G248" s="81">
        <v>0.314</v>
      </c>
      <c r="H248" s="30">
        <f t="shared" si="3"/>
        <v>0</v>
      </c>
    </row>
    <row r="249" spans="1:8" x14ac:dyDescent="0.3">
      <c r="A249" s="72"/>
      <c r="B249" s="72"/>
      <c r="C249" s="10" t="s">
        <v>118</v>
      </c>
      <c r="D249" s="10" t="s">
        <v>6</v>
      </c>
      <c r="E249" s="11"/>
      <c r="F249" s="34">
        <v>13.545999999999999</v>
      </c>
      <c r="G249" s="81">
        <v>16.547999999999998</v>
      </c>
      <c r="H249" s="30">
        <f t="shared" si="3"/>
        <v>3.0019999999999989</v>
      </c>
    </row>
    <row r="250" spans="1:8" x14ac:dyDescent="0.3">
      <c r="A250" s="72"/>
      <c r="B250" s="72"/>
      <c r="C250" s="10" t="s">
        <v>119</v>
      </c>
      <c r="D250" s="10" t="s">
        <v>6</v>
      </c>
      <c r="E250" s="11"/>
      <c r="F250" s="34">
        <v>15.249000000000001</v>
      </c>
      <c r="G250" s="81">
        <v>15.249000000000001</v>
      </c>
      <c r="H250" s="30">
        <f t="shared" si="3"/>
        <v>0</v>
      </c>
    </row>
    <row r="251" spans="1:8" x14ac:dyDescent="0.3">
      <c r="A251" s="72"/>
      <c r="B251" s="72"/>
      <c r="C251" s="10" t="s">
        <v>120</v>
      </c>
      <c r="D251" s="10" t="s">
        <v>6</v>
      </c>
      <c r="E251" s="11"/>
      <c r="F251" s="34">
        <v>6.4000000000000001E-2</v>
      </c>
      <c r="G251" s="81">
        <v>6.4000000000000001E-2</v>
      </c>
      <c r="H251" s="30">
        <f t="shared" si="3"/>
        <v>0</v>
      </c>
    </row>
    <row r="252" spans="1:8" x14ac:dyDescent="0.3">
      <c r="A252" s="72"/>
      <c r="B252" s="72"/>
      <c r="C252" s="10" t="s">
        <v>121</v>
      </c>
      <c r="D252" s="10" t="s">
        <v>6</v>
      </c>
      <c r="E252" s="11"/>
      <c r="F252" s="34">
        <v>528.596</v>
      </c>
      <c r="G252" s="81">
        <v>528.596</v>
      </c>
      <c r="H252" s="30">
        <f t="shared" si="3"/>
        <v>0</v>
      </c>
    </row>
    <row r="253" spans="1:8" x14ac:dyDescent="0.3">
      <c r="A253" s="72"/>
      <c r="B253" s="72"/>
      <c r="C253" s="10" t="s">
        <v>122</v>
      </c>
      <c r="D253" s="10" t="s">
        <v>8</v>
      </c>
      <c r="E253" s="11"/>
      <c r="F253" s="34">
        <v>0.47399999999999998</v>
      </c>
      <c r="G253" s="81">
        <v>0.47399999999999998</v>
      </c>
      <c r="H253" s="30">
        <f t="shared" si="3"/>
        <v>0</v>
      </c>
    </row>
    <row r="254" spans="1:8" x14ac:dyDescent="0.3">
      <c r="A254" s="72"/>
      <c r="B254" s="72"/>
      <c r="C254" s="10" t="s">
        <v>123</v>
      </c>
      <c r="D254" s="10" t="s">
        <v>8</v>
      </c>
      <c r="E254" s="11"/>
      <c r="F254" s="34">
        <v>0.52</v>
      </c>
      <c r="G254" s="81">
        <v>0.52</v>
      </c>
      <c r="H254" s="30">
        <f t="shared" si="3"/>
        <v>0</v>
      </c>
    </row>
    <row r="255" spans="1:8" x14ac:dyDescent="0.3">
      <c r="A255" s="72"/>
      <c r="B255" s="72"/>
      <c r="C255" s="10" t="s">
        <v>124</v>
      </c>
      <c r="D255" s="10" t="s">
        <v>8</v>
      </c>
      <c r="E255" s="11"/>
      <c r="F255" s="34">
        <v>0.115</v>
      </c>
      <c r="G255" s="81">
        <v>0.115</v>
      </c>
      <c r="H255" s="30">
        <f t="shared" si="3"/>
        <v>0</v>
      </c>
    </row>
    <row r="256" spans="1:8" x14ac:dyDescent="0.3">
      <c r="A256" s="72"/>
      <c r="B256" s="72"/>
      <c r="C256" s="10" t="s">
        <v>125</v>
      </c>
      <c r="D256" s="10" t="s">
        <v>8</v>
      </c>
      <c r="E256" s="11"/>
      <c r="F256" s="34">
        <v>0.38600000000000001</v>
      </c>
      <c r="G256" s="81">
        <v>0.38600000000000001</v>
      </c>
      <c r="H256" s="30">
        <f t="shared" si="3"/>
        <v>0</v>
      </c>
    </row>
    <row r="257" spans="1:8" x14ac:dyDescent="0.3">
      <c r="A257" s="72"/>
      <c r="B257" s="72"/>
      <c r="C257" s="10" t="s">
        <v>126</v>
      </c>
      <c r="D257" s="10" t="s">
        <v>8</v>
      </c>
      <c r="E257" s="11"/>
      <c r="F257" s="34">
        <v>1.7999999999999999E-2</v>
      </c>
      <c r="G257" s="81">
        <v>1.7999999999999999E-2</v>
      </c>
      <c r="H257" s="30">
        <f t="shared" si="3"/>
        <v>0</v>
      </c>
    </row>
    <row r="258" spans="1:8" x14ac:dyDescent="0.3">
      <c r="A258" s="72"/>
      <c r="B258" s="72"/>
      <c r="C258" s="10" t="s">
        <v>372</v>
      </c>
      <c r="D258" s="10" t="s">
        <v>274</v>
      </c>
      <c r="E258" s="59">
        <v>16</v>
      </c>
      <c r="F258" s="34">
        <v>0.61</v>
      </c>
      <c r="G258" s="81">
        <v>0.61</v>
      </c>
      <c r="H258" s="30">
        <f t="shared" ref="H258:H321" si="4">G258-F258</f>
        <v>0</v>
      </c>
    </row>
    <row r="259" spans="1:8" x14ac:dyDescent="0.3">
      <c r="A259" s="72"/>
      <c r="B259" s="72"/>
      <c r="C259" s="10" t="s">
        <v>127</v>
      </c>
      <c r="D259" s="10" t="s">
        <v>10</v>
      </c>
      <c r="E259" s="59">
        <v>30</v>
      </c>
      <c r="F259" s="34">
        <v>81.489999999999995</v>
      </c>
      <c r="G259" s="81">
        <v>113.02</v>
      </c>
      <c r="H259" s="30">
        <f t="shared" si="4"/>
        <v>31.53</v>
      </c>
    </row>
    <row r="260" spans="1:8" x14ac:dyDescent="0.3">
      <c r="A260" s="72" t="s">
        <v>401</v>
      </c>
      <c r="B260" s="72" t="s">
        <v>402</v>
      </c>
      <c r="C260" s="10">
        <v>10824220</v>
      </c>
      <c r="D260" s="10" t="s">
        <v>6</v>
      </c>
      <c r="E260" s="11"/>
      <c r="F260" s="34">
        <v>1.4690000000000001</v>
      </c>
      <c r="G260" s="81">
        <v>5.335</v>
      </c>
      <c r="H260" s="30">
        <f t="shared" si="4"/>
        <v>3.8659999999999997</v>
      </c>
    </row>
    <row r="261" spans="1:8" x14ac:dyDescent="0.3">
      <c r="A261" s="72"/>
      <c r="B261" s="72"/>
      <c r="C261" s="10">
        <v>11032780</v>
      </c>
      <c r="D261" s="10" t="s">
        <v>6</v>
      </c>
      <c r="E261" s="11"/>
      <c r="F261" s="34">
        <v>0.71</v>
      </c>
      <c r="G261" s="81">
        <v>40.177</v>
      </c>
      <c r="H261" s="30">
        <f t="shared" si="4"/>
        <v>39.466999999999999</v>
      </c>
    </row>
    <row r="262" spans="1:8" x14ac:dyDescent="0.3">
      <c r="A262" s="72"/>
      <c r="B262" s="72"/>
      <c r="C262" s="10">
        <v>11031165</v>
      </c>
      <c r="D262" s="10" t="s">
        <v>6</v>
      </c>
      <c r="E262" s="11"/>
      <c r="F262" s="34">
        <v>0.39900000000000002</v>
      </c>
      <c r="G262" s="81">
        <v>0.39900000000000002</v>
      </c>
      <c r="H262" s="30">
        <f t="shared" si="4"/>
        <v>0</v>
      </c>
    </row>
    <row r="263" spans="1:8" x14ac:dyDescent="0.3">
      <c r="A263" s="72"/>
      <c r="B263" s="72"/>
      <c r="C263" s="10">
        <v>10824206</v>
      </c>
      <c r="D263" s="10" t="s">
        <v>6</v>
      </c>
      <c r="E263" s="11"/>
      <c r="F263" s="34">
        <v>0.126</v>
      </c>
      <c r="G263" s="81">
        <v>0.126</v>
      </c>
      <c r="H263" s="30">
        <f t="shared" si="4"/>
        <v>0</v>
      </c>
    </row>
    <row r="264" spans="1:8" x14ac:dyDescent="0.3">
      <c r="A264" s="72"/>
      <c r="B264" s="72"/>
      <c r="C264" s="10">
        <v>10975449</v>
      </c>
      <c r="D264" s="10" t="s">
        <v>6</v>
      </c>
      <c r="E264" s="11"/>
      <c r="F264" s="34">
        <v>0.55200000000000005</v>
      </c>
      <c r="G264" s="81">
        <v>0.55200000000000005</v>
      </c>
      <c r="H264" s="30">
        <f t="shared" si="4"/>
        <v>0</v>
      </c>
    </row>
    <row r="265" spans="1:8" x14ac:dyDescent="0.3">
      <c r="A265" s="72"/>
      <c r="B265" s="72"/>
      <c r="C265" s="10">
        <v>11031545</v>
      </c>
      <c r="D265" s="10" t="s">
        <v>8</v>
      </c>
      <c r="E265" s="11"/>
      <c r="F265" s="34">
        <v>0.1</v>
      </c>
      <c r="G265" s="81">
        <v>0.36399999999999999</v>
      </c>
      <c r="H265" s="30">
        <f t="shared" si="4"/>
        <v>0.26400000000000001</v>
      </c>
    </row>
    <row r="266" spans="1:8" x14ac:dyDescent="0.3">
      <c r="A266" s="72"/>
      <c r="B266" s="72"/>
      <c r="C266" s="10">
        <v>10971018</v>
      </c>
      <c r="D266" s="10" t="s">
        <v>8</v>
      </c>
      <c r="E266" s="11"/>
      <c r="F266" s="34">
        <v>0.433</v>
      </c>
      <c r="G266" s="81">
        <v>12.026999999999999</v>
      </c>
      <c r="H266" s="30">
        <f t="shared" si="4"/>
        <v>11.593999999999999</v>
      </c>
    </row>
    <row r="267" spans="1:8" x14ac:dyDescent="0.3">
      <c r="A267" s="72"/>
      <c r="B267" s="72"/>
      <c r="C267" s="10">
        <v>10983826</v>
      </c>
      <c r="D267" s="10" t="s">
        <v>8</v>
      </c>
      <c r="E267" s="11"/>
      <c r="F267" s="34">
        <v>0.33900000000000002</v>
      </c>
      <c r="G267" s="81">
        <v>0.33900000000000002</v>
      </c>
      <c r="H267" s="30">
        <f t="shared" si="4"/>
        <v>0</v>
      </c>
    </row>
    <row r="268" spans="1:8" x14ac:dyDescent="0.3">
      <c r="A268" s="72"/>
      <c r="B268" s="72"/>
      <c r="C268" s="10">
        <v>11031805</v>
      </c>
      <c r="D268" s="10" t="s">
        <v>8</v>
      </c>
      <c r="E268" s="11"/>
      <c r="F268" s="34">
        <v>7.5999999999999998E-2</v>
      </c>
      <c r="G268" s="34">
        <v>7.5999999999999998E-2</v>
      </c>
      <c r="H268" s="30">
        <f t="shared" si="4"/>
        <v>0</v>
      </c>
    </row>
    <row r="269" spans="1:8" x14ac:dyDescent="0.3">
      <c r="A269" s="72"/>
      <c r="B269" s="72"/>
      <c r="C269" s="10">
        <v>10979155</v>
      </c>
      <c r="D269" s="10" t="s">
        <v>8</v>
      </c>
      <c r="E269" s="11"/>
      <c r="F269" s="34">
        <v>5.8000000000000003E-2</v>
      </c>
      <c r="G269" s="81">
        <v>5.8000000000000003E-2</v>
      </c>
      <c r="H269" s="30">
        <f t="shared" si="4"/>
        <v>0</v>
      </c>
    </row>
    <row r="270" spans="1:8" x14ac:dyDescent="0.3">
      <c r="A270" s="72"/>
      <c r="B270" s="72"/>
      <c r="C270" s="10">
        <v>47947375</v>
      </c>
      <c r="D270" s="10" t="s">
        <v>274</v>
      </c>
      <c r="E270" s="59">
        <v>16</v>
      </c>
      <c r="F270" s="34">
        <v>0.81</v>
      </c>
      <c r="G270" s="81">
        <v>435.26</v>
      </c>
      <c r="H270" s="30">
        <f t="shared" si="4"/>
        <v>434.45</v>
      </c>
    </row>
    <row r="271" spans="1:8" x14ac:dyDescent="0.3">
      <c r="A271" s="72"/>
      <c r="B271" s="72"/>
      <c r="C271" s="10">
        <v>47947374</v>
      </c>
      <c r="D271" s="10" t="s">
        <v>10</v>
      </c>
      <c r="E271" s="59">
        <v>30</v>
      </c>
      <c r="F271" s="34">
        <v>0.77</v>
      </c>
      <c r="G271" s="34">
        <v>0.77</v>
      </c>
      <c r="H271" s="30">
        <f t="shared" si="4"/>
        <v>0</v>
      </c>
    </row>
    <row r="272" spans="1:8" x14ac:dyDescent="0.3">
      <c r="A272" s="72" t="s">
        <v>396</v>
      </c>
      <c r="B272" s="72" t="s">
        <v>397</v>
      </c>
      <c r="C272" s="10">
        <v>11039714</v>
      </c>
      <c r="D272" s="10" t="s">
        <v>6</v>
      </c>
      <c r="E272" s="11"/>
      <c r="F272" s="34">
        <v>9.0060000000000002</v>
      </c>
      <c r="G272" s="81">
        <v>9.9009999999999998</v>
      </c>
      <c r="H272" s="30">
        <f t="shared" si="4"/>
        <v>0.89499999999999957</v>
      </c>
    </row>
    <row r="273" spans="1:8" x14ac:dyDescent="0.3">
      <c r="A273" s="72"/>
      <c r="B273" s="72"/>
      <c r="C273" s="10">
        <v>11078024</v>
      </c>
      <c r="D273" s="10" t="s">
        <v>6</v>
      </c>
      <c r="E273" s="11"/>
      <c r="F273" s="34">
        <v>0.14499999999999999</v>
      </c>
      <c r="G273" s="81">
        <v>37.582000000000001</v>
      </c>
      <c r="H273" s="30">
        <f t="shared" si="4"/>
        <v>37.436999999999998</v>
      </c>
    </row>
    <row r="274" spans="1:8" x14ac:dyDescent="0.3">
      <c r="A274" s="72"/>
      <c r="B274" s="72"/>
      <c r="C274" s="10">
        <v>11081983</v>
      </c>
      <c r="D274" s="10" t="s">
        <v>6</v>
      </c>
      <c r="E274" s="11"/>
      <c r="F274" s="34">
        <v>0.42699999999999999</v>
      </c>
      <c r="G274" s="81">
        <v>0.42699999999999999</v>
      </c>
      <c r="H274" s="30">
        <f t="shared" si="4"/>
        <v>0</v>
      </c>
    </row>
    <row r="275" spans="1:8" x14ac:dyDescent="0.3">
      <c r="A275" s="72"/>
      <c r="B275" s="72"/>
      <c r="C275" s="10">
        <v>11078029</v>
      </c>
      <c r="D275" s="10" t="s">
        <v>6</v>
      </c>
      <c r="E275" s="11"/>
      <c r="F275" s="34">
        <v>4.2000000000000003E-2</v>
      </c>
      <c r="G275" s="81">
        <v>4.2000000000000003E-2</v>
      </c>
      <c r="H275" s="30">
        <f t="shared" si="4"/>
        <v>0</v>
      </c>
    </row>
    <row r="276" spans="1:8" x14ac:dyDescent="0.3">
      <c r="A276" s="72"/>
      <c r="B276" s="72"/>
      <c r="C276" s="10">
        <v>11082007</v>
      </c>
      <c r="D276" s="10" t="s">
        <v>6</v>
      </c>
      <c r="E276" s="11"/>
      <c r="F276" s="34">
        <v>0.17799999999999999</v>
      </c>
      <c r="G276" s="81">
        <v>0.17799999999999999</v>
      </c>
      <c r="H276" s="30">
        <f t="shared" si="4"/>
        <v>0</v>
      </c>
    </row>
    <row r="277" spans="1:8" x14ac:dyDescent="0.3">
      <c r="A277" s="72"/>
      <c r="B277" s="72"/>
      <c r="C277" s="10">
        <v>11039696</v>
      </c>
      <c r="D277" s="10" t="s">
        <v>8</v>
      </c>
      <c r="E277" s="11"/>
      <c r="F277" s="34">
        <v>7.8E-2</v>
      </c>
      <c r="G277" s="81">
        <v>0.159</v>
      </c>
      <c r="H277" s="30">
        <f t="shared" si="4"/>
        <v>8.1000000000000003E-2</v>
      </c>
    </row>
    <row r="278" spans="1:8" x14ac:dyDescent="0.3">
      <c r="A278" s="72"/>
      <c r="B278" s="72"/>
      <c r="C278" s="10">
        <v>11039708</v>
      </c>
      <c r="D278" s="10" t="s">
        <v>8</v>
      </c>
      <c r="E278" s="11"/>
      <c r="F278" s="34">
        <v>0.73699999999999999</v>
      </c>
      <c r="G278" s="81">
        <v>0.79400000000000004</v>
      </c>
      <c r="H278" s="30">
        <f t="shared" si="4"/>
        <v>5.7000000000000051E-2</v>
      </c>
    </row>
    <row r="279" spans="1:8" x14ac:dyDescent="0.3">
      <c r="A279" s="72"/>
      <c r="B279" s="72"/>
      <c r="C279" s="10">
        <v>11078041</v>
      </c>
      <c r="D279" s="10" t="s">
        <v>8</v>
      </c>
      <c r="E279" s="11"/>
      <c r="F279" s="34">
        <v>0.113</v>
      </c>
      <c r="G279" s="81">
        <v>0.113</v>
      </c>
      <c r="H279" s="30">
        <f t="shared" si="4"/>
        <v>0</v>
      </c>
    </row>
    <row r="280" spans="1:8" x14ac:dyDescent="0.3">
      <c r="A280" s="72"/>
      <c r="B280" s="72"/>
      <c r="C280" s="10">
        <v>11078028</v>
      </c>
      <c r="D280" s="10" t="s">
        <v>8</v>
      </c>
      <c r="E280" s="11"/>
      <c r="F280" s="34">
        <v>6.5000000000000002E-2</v>
      </c>
      <c r="G280" s="81">
        <v>6.5000000000000002E-2</v>
      </c>
      <c r="H280" s="30">
        <f t="shared" si="4"/>
        <v>0</v>
      </c>
    </row>
    <row r="281" spans="1:8" x14ac:dyDescent="0.3">
      <c r="A281" s="72"/>
      <c r="B281" s="72"/>
      <c r="C281" s="10">
        <v>11078035</v>
      </c>
      <c r="D281" s="10" t="s">
        <v>8</v>
      </c>
      <c r="E281" s="11"/>
      <c r="F281" s="34">
        <v>0.128</v>
      </c>
      <c r="G281" s="81">
        <v>0.128</v>
      </c>
      <c r="H281" s="30">
        <f t="shared" si="4"/>
        <v>0</v>
      </c>
    </row>
    <row r="282" spans="1:8" x14ac:dyDescent="0.3">
      <c r="A282" s="72"/>
      <c r="B282" s="72"/>
      <c r="C282" s="10">
        <v>47947340</v>
      </c>
      <c r="D282" s="10" t="s">
        <v>274</v>
      </c>
      <c r="E282" s="59">
        <v>16</v>
      </c>
      <c r="F282" s="34">
        <v>1.3</v>
      </c>
      <c r="G282" s="81">
        <v>275.45</v>
      </c>
      <c r="H282" s="30">
        <f t="shared" si="4"/>
        <v>274.14999999999998</v>
      </c>
    </row>
    <row r="283" spans="1:8" x14ac:dyDescent="0.3">
      <c r="A283" s="72"/>
      <c r="B283" s="72"/>
      <c r="C283" s="10">
        <v>47772526</v>
      </c>
      <c r="D283" s="10" t="s">
        <v>10</v>
      </c>
      <c r="E283" s="59">
        <v>30</v>
      </c>
      <c r="F283" s="34">
        <v>0.27</v>
      </c>
      <c r="G283" s="34">
        <v>0.27</v>
      </c>
      <c r="H283" s="30">
        <f t="shared" si="4"/>
        <v>0</v>
      </c>
    </row>
    <row r="284" spans="1:8" x14ac:dyDescent="0.3">
      <c r="A284" s="72" t="s">
        <v>128</v>
      </c>
      <c r="B284" s="72" t="s">
        <v>331</v>
      </c>
      <c r="C284" s="10">
        <v>11035773</v>
      </c>
      <c r="D284" s="10" t="s">
        <v>6</v>
      </c>
      <c r="E284" s="11"/>
      <c r="F284" s="34">
        <v>7.8010000000000002</v>
      </c>
      <c r="G284" s="81">
        <v>16.907</v>
      </c>
      <c r="H284" s="30">
        <f t="shared" si="4"/>
        <v>9.1059999999999999</v>
      </c>
    </row>
    <row r="285" spans="1:8" x14ac:dyDescent="0.3">
      <c r="A285" s="72"/>
      <c r="B285" s="72"/>
      <c r="C285" s="10">
        <v>11040564</v>
      </c>
      <c r="D285" s="10" t="s">
        <v>6</v>
      </c>
      <c r="E285" s="11"/>
      <c r="F285" s="34">
        <v>2.9350000000000001</v>
      </c>
      <c r="G285" s="81">
        <v>2.9350000000000001</v>
      </c>
      <c r="H285" s="30">
        <f t="shared" si="4"/>
        <v>0</v>
      </c>
    </row>
    <row r="286" spans="1:8" x14ac:dyDescent="0.3">
      <c r="A286" s="72"/>
      <c r="B286" s="72"/>
      <c r="C286" s="10">
        <v>11040572</v>
      </c>
      <c r="D286" s="10" t="s">
        <v>6</v>
      </c>
      <c r="E286" s="11"/>
      <c r="F286" s="34">
        <v>0.114</v>
      </c>
      <c r="G286" s="81">
        <v>0.114</v>
      </c>
      <c r="H286" s="30">
        <f t="shared" si="4"/>
        <v>0</v>
      </c>
    </row>
    <row r="287" spans="1:8" x14ac:dyDescent="0.3">
      <c r="A287" s="72"/>
      <c r="B287" s="72"/>
      <c r="C287" s="10">
        <v>11082008</v>
      </c>
      <c r="D287" s="10" t="s">
        <v>6</v>
      </c>
      <c r="E287" s="11"/>
      <c r="F287" s="34">
        <v>9.0820000000000007</v>
      </c>
      <c r="G287" s="81">
        <v>10.000999999999999</v>
      </c>
      <c r="H287" s="30">
        <f t="shared" si="4"/>
        <v>0.91899999999999871</v>
      </c>
    </row>
    <row r="288" spans="1:8" x14ac:dyDescent="0.3">
      <c r="A288" s="72"/>
      <c r="B288" s="72"/>
      <c r="C288" s="10" t="s">
        <v>348</v>
      </c>
      <c r="D288" s="10" t="s">
        <v>6</v>
      </c>
      <c r="E288" s="11"/>
      <c r="F288" s="34">
        <v>2.9000000000000001E-2</v>
      </c>
      <c r="G288" s="34">
        <v>2.9000000000000001E-2</v>
      </c>
      <c r="H288" s="30">
        <f t="shared" si="4"/>
        <v>0</v>
      </c>
    </row>
    <row r="289" spans="1:8" x14ac:dyDescent="0.3">
      <c r="A289" s="72"/>
      <c r="B289" s="72"/>
      <c r="C289" s="10">
        <v>11035772</v>
      </c>
      <c r="D289" s="10" t="s">
        <v>8</v>
      </c>
      <c r="E289" s="11"/>
      <c r="F289" s="34">
        <v>3.016</v>
      </c>
      <c r="G289" s="81">
        <v>5.202</v>
      </c>
      <c r="H289" s="30">
        <f t="shared" si="4"/>
        <v>2.1859999999999999</v>
      </c>
    </row>
    <row r="290" spans="1:8" x14ac:dyDescent="0.3">
      <c r="A290" s="72"/>
      <c r="B290" s="72"/>
      <c r="C290" s="10">
        <v>11078045</v>
      </c>
      <c r="D290" s="10" t="s">
        <v>8</v>
      </c>
      <c r="E290" s="11"/>
      <c r="F290" s="34">
        <v>0.24399999999999999</v>
      </c>
      <c r="G290" s="81">
        <v>0.24399999999999999</v>
      </c>
      <c r="H290" s="30">
        <f t="shared" si="4"/>
        <v>0</v>
      </c>
    </row>
    <row r="291" spans="1:8" x14ac:dyDescent="0.3">
      <c r="A291" s="72"/>
      <c r="B291" s="72"/>
      <c r="C291" s="10">
        <v>10969984</v>
      </c>
      <c r="D291" s="10" t="s">
        <v>8</v>
      </c>
      <c r="E291" s="11"/>
      <c r="F291" s="34">
        <v>4.1890000000000001</v>
      </c>
      <c r="G291" s="81">
        <v>4.2130000000000001</v>
      </c>
      <c r="H291" s="30">
        <f t="shared" si="4"/>
        <v>2.4000000000000021E-2</v>
      </c>
    </row>
    <row r="292" spans="1:8" x14ac:dyDescent="0.3">
      <c r="A292" s="72"/>
      <c r="B292" s="72"/>
      <c r="C292" s="10">
        <v>11048569</v>
      </c>
      <c r="D292" s="10" t="s">
        <v>8</v>
      </c>
      <c r="E292" s="11"/>
      <c r="F292" s="34">
        <v>1.532</v>
      </c>
      <c r="G292" s="81">
        <v>1.671</v>
      </c>
      <c r="H292" s="30">
        <f t="shared" si="4"/>
        <v>0.13900000000000001</v>
      </c>
    </row>
    <row r="293" spans="1:8" x14ac:dyDescent="0.3">
      <c r="A293" s="72"/>
      <c r="B293" s="72"/>
      <c r="C293" s="10" t="s">
        <v>349</v>
      </c>
      <c r="D293" s="10" t="s">
        <v>8</v>
      </c>
      <c r="E293" s="11"/>
      <c r="F293" s="34">
        <v>3.6999999999999998E-2</v>
      </c>
      <c r="G293" s="81">
        <v>3.6999999999999998E-2</v>
      </c>
      <c r="H293" s="30">
        <f t="shared" si="4"/>
        <v>0</v>
      </c>
    </row>
    <row r="294" spans="1:8" x14ac:dyDescent="0.3">
      <c r="A294" s="72"/>
      <c r="B294" s="72"/>
      <c r="C294" s="10" t="s">
        <v>373</v>
      </c>
      <c r="D294" s="10" t="s">
        <v>274</v>
      </c>
      <c r="E294" s="59">
        <v>16</v>
      </c>
      <c r="F294" s="34">
        <v>0.65</v>
      </c>
      <c r="G294" s="81">
        <v>0.65</v>
      </c>
      <c r="H294" s="30">
        <f t="shared" si="4"/>
        <v>0</v>
      </c>
    </row>
    <row r="295" spans="1:8" x14ac:dyDescent="0.3">
      <c r="A295" s="72"/>
      <c r="B295" s="72"/>
      <c r="C295" s="10" t="s">
        <v>129</v>
      </c>
      <c r="D295" s="10" t="s">
        <v>10</v>
      </c>
      <c r="E295" s="59">
        <v>30</v>
      </c>
      <c r="F295" s="34">
        <v>120.52</v>
      </c>
      <c r="G295" s="81">
        <v>187.87</v>
      </c>
      <c r="H295" s="30">
        <f t="shared" si="4"/>
        <v>67.350000000000009</v>
      </c>
    </row>
    <row r="296" spans="1:8" x14ac:dyDescent="0.3">
      <c r="A296" s="71" t="s">
        <v>257</v>
      </c>
      <c r="B296" s="71" t="s">
        <v>332</v>
      </c>
      <c r="C296" s="4" t="s">
        <v>130</v>
      </c>
      <c r="D296" s="4" t="s">
        <v>6</v>
      </c>
      <c r="E296" s="6"/>
      <c r="F296" s="35">
        <v>1.357</v>
      </c>
      <c r="G296" s="35">
        <v>1.357</v>
      </c>
      <c r="H296" s="30">
        <f t="shared" si="4"/>
        <v>0</v>
      </c>
    </row>
    <row r="297" spans="1:8" x14ac:dyDescent="0.3">
      <c r="A297" s="71"/>
      <c r="B297" s="71"/>
      <c r="C297" s="4" t="s">
        <v>131</v>
      </c>
      <c r="D297" s="4" t="s">
        <v>6</v>
      </c>
      <c r="E297" s="6"/>
      <c r="F297" s="35">
        <v>0.19800000000000001</v>
      </c>
      <c r="G297" s="35">
        <v>0.19800000000000001</v>
      </c>
      <c r="H297" s="30">
        <f t="shared" si="4"/>
        <v>0</v>
      </c>
    </row>
    <row r="298" spans="1:8" x14ac:dyDescent="0.3">
      <c r="A298" s="71"/>
      <c r="B298" s="71"/>
      <c r="C298" s="4" t="s">
        <v>132</v>
      </c>
      <c r="D298" s="4" t="s">
        <v>6</v>
      </c>
      <c r="E298" s="6"/>
      <c r="F298" s="35">
        <v>2.8000000000000001E-2</v>
      </c>
      <c r="G298" s="35">
        <v>2.8000000000000001E-2</v>
      </c>
      <c r="H298" s="30">
        <f t="shared" si="4"/>
        <v>0</v>
      </c>
    </row>
    <row r="299" spans="1:8" x14ac:dyDescent="0.3">
      <c r="A299" s="71"/>
      <c r="B299" s="71"/>
      <c r="C299" s="4" t="s">
        <v>133</v>
      </c>
      <c r="D299" s="4" t="s">
        <v>6</v>
      </c>
      <c r="E299" s="6"/>
      <c r="F299" s="35">
        <v>5.7000000000000002E-2</v>
      </c>
      <c r="G299" s="35">
        <v>5.7000000000000002E-2</v>
      </c>
      <c r="H299" s="30">
        <f t="shared" si="4"/>
        <v>0</v>
      </c>
    </row>
    <row r="300" spans="1:8" x14ac:dyDescent="0.3">
      <c r="A300" s="71"/>
      <c r="B300" s="71"/>
      <c r="C300" s="4" t="s">
        <v>134</v>
      </c>
      <c r="D300" s="4" t="s">
        <v>6</v>
      </c>
      <c r="E300" s="6"/>
      <c r="F300" s="35">
        <v>7.6999999999999999E-2</v>
      </c>
      <c r="G300" s="35">
        <v>7.6999999999999999E-2</v>
      </c>
      <c r="H300" s="30">
        <f t="shared" si="4"/>
        <v>0</v>
      </c>
    </row>
    <row r="301" spans="1:8" x14ac:dyDescent="0.3">
      <c r="A301" s="71"/>
      <c r="B301" s="71"/>
      <c r="C301" s="4" t="s">
        <v>135</v>
      </c>
      <c r="D301" s="4" t="s">
        <v>8</v>
      </c>
      <c r="E301" s="6"/>
      <c r="F301" s="35">
        <v>0.73599999999999999</v>
      </c>
      <c r="G301" s="35">
        <v>0.73599999999999999</v>
      </c>
      <c r="H301" s="30">
        <f t="shared" si="4"/>
        <v>0</v>
      </c>
    </row>
    <row r="302" spans="1:8" x14ac:dyDescent="0.3">
      <c r="A302" s="71"/>
      <c r="B302" s="71"/>
      <c r="C302" s="4" t="s">
        <v>136</v>
      </c>
      <c r="D302" s="4" t="s">
        <v>8</v>
      </c>
      <c r="E302" s="6"/>
      <c r="F302" s="35">
        <v>0.14699999999999999</v>
      </c>
      <c r="G302" s="35">
        <v>0.14699999999999999</v>
      </c>
      <c r="H302" s="30">
        <f t="shared" si="4"/>
        <v>0</v>
      </c>
    </row>
    <row r="303" spans="1:8" x14ac:dyDescent="0.3">
      <c r="A303" s="71"/>
      <c r="B303" s="71"/>
      <c r="C303" s="4" t="s">
        <v>137</v>
      </c>
      <c r="D303" s="4" t="s">
        <v>8</v>
      </c>
      <c r="E303" s="6"/>
      <c r="F303" s="35">
        <v>0.32</v>
      </c>
      <c r="G303" s="35">
        <v>0.32</v>
      </c>
      <c r="H303" s="30">
        <f t="shared" si="4"/>
        <v>0</v>
      </c>
    </row>
    <row r="304" spans="1:8" x14ac:dyDescent="0.3">
      <c r="A304" s="71"/>
      <c r="B304" s="71"/>
      <c r="C304" s="4" t="s">
        <v>138</v>
      </c>
      <c r="D304" s="4" t="s">
        <v>8</v>
      </c>
      <c r="E304" s="6"/>
      <c r="F304" s="35">
        <v>7.0999999999999994E-2</v>
      </c>
      <c r="G304" s="35">
        <v>7.0999999999999994E-2</v>
      </c>
      <c r="H304" s="30">
        <f t="shared" si="4"/>
        <v>0</v>
      </c>
    </row>
    <row r="305" spans="1:8" x14ac:dyDescent="0.3">
      <c r="A305" s="71"/>
      <c r="B305" s="71"/>
      <c r="C305" s="4" t="s">
        <v>139</v>
      </c>
      <c r="D305" s="4" t="s">
        <v>8</v>
      </c>
      <c r="E305" s="6"/>
      <c r="F305" s="35">
        <v>7.8E-2</v>
      </c>
      <c r="G305" s="35">
        <v>7.8E-2</v>
      </c>
      <c r="H305" s="30">
        <f t="shared" si="4"/>
        <v>0</v>
      </c>
    </row>
    <row r="306" spans="1:8" x14ac:dyDescent="0.3">
      <c r="A306" s="71"/>
      <c r="B306" s="71"/>
      <c r="C306" s="4" t="s">
        <v>374</v>
      </c>
      <c r="D306" s="4" t="s">
        <v>274</v>
      </c>
      <c r="E306" s="45">
        <v>16</v>
      </c>
      <c r="F306" s="35">
        <v>0.79</v>
      </c>
      <c r="G306" s="35">
        <v>0.79</v>
      </c>
      <c r="H306" s="30">
        <f t="shared" si="4"/>
        <v>0</v>
      </c>
    </row>
    <row r="307" spans="1:8" x14ac:dyDescent="0.3">
      <c r="A307" s="71"/>
      <c r="B307" s="71"/>
      <c r="C307" s="4" t="s">
        <v>140</v>
      </c>
      <c r="D307" s="4" t="s">
        <v>10</v>
      </c>
      <c r="E307" s="45">
        <v>30</v>
      </c>
      <c r="F307" s="35">
        <v>1.1100000000000001</v>
      </c>
      <c r="G307" s="35">
        <v>1.1100000000000001</v>
      </c>
      <c r="H307" s="30">
        <f t="shared" si="4"/>
        <v>0</v>
      </c>
    </row>
    <row r="308" spans="1:8" x14ac:dyDescent="0.3">
      <c r="A308" s="71" t="s">
        <v>399</v>
      </c>
      <c r="B308" s="71" t="s">
        <v>400</v>
      </c>
      <c r="C308" s="4">
        <v>11039828</v>
      </c>
      <c r="D308" s="4" t="s">
        <v>6</v>
      </c>
      <c r="E308" s="6"/>
      <c r="F308" s="30">
        <v>0.48099999999999998</v>
      </c>
      <c r="G308" s="35">
        <v>0.48099999999999998</v>
      </c>
      <c r="H308" s="30">
        <f t="shared" si="4"/>
        <v>0</v>
      </c>
    </row>
    <row r="309" spans="1:8" x14ac:dyDescent="0.3">
      <c r="A309" s="71"/>
      <c r="B309" s="71"/>
      <c r="C309" s="4">
        <v>11039818</v>
      </c>
      <c r="D309" s="4" t="s">
        <v>6</v>
      </c>
      <c r="E309" s="6"/>
      <c r="F309" s="30">
        <v>4.2999999999999997E-2</v>
      </c>
      <c r="G309" s="35">
        <v>4.2999999999999997E-2</v>
      </c>
      <c r="H309" s="30">
        <f t="shared" si="4"/>
        <v>0</v>
      </c>
    </row>
    <row r="310" spans="1:8" x14ac:dyDescent="0.3">
      <c r="A310" s="71"/>
      <c r="B310" s="71"/>
      <c r="C310" s="4">
        <v>11039829</v>
      </c>
      <c r="D310" s="4" t="s">
        <v>6</v>
      </c>
      <c r="E310" s="6"/>
      <c r="F310" s="30">
        <v>0.34100000000000003</v>
      </c>
      <c r="G310" s="30">
        <v>0.34100000000000003</v>
      </c>
      <c r="H310" s="30">
        <f t="shared" si="4"/>
        <v>0</v>
      </c>
    </row>
    <row r="311" spans="1:8" x14ac:dyDescent="0.3">
      <c r="A311" s="71"/>
      <c r="B311" s="71"/>
      <c r="C311" s="4">
        <v>11039826</v>
      </c>
      <c r="D311" s="4" t="s">
        <v>6</v>
      </c>
      <c r="E311" s="6"/>
      <c r="F311" s="30">
        <v>0.27700000000000002</v>
      </c>
      <c r="G311" s="30">
        <v>0.27700000000000002</v>
      </c>
      <c r="H311" s="30">
        <f t="shared" si="4"/>
        <v>0</v>
      </c>
    </row>
    <row r="312" spans="1:8" x14ac:dyDescent="0.3">
      <c r="A312" s="71"/>
      <c r="B312" s="71"/>
      <c r="C312" s="4">
        <v>10971335</v>
      </c>
      <c r="D312" s="4" t="s">
        <v>6</v>
      </c>
      <c r="E312" s="6"/>
      <c r="F312" s="30">
        <v>0.307</v>
      </c>
      <c r="G312" s="30">
        <v>0.307</v>
      </c>
      <c r="H312" s="30">
        <f t="shared" si="4"/>
        <v>0</v>
      </c>
    </row>
    <row r="313" spans="1:8" x14ac:dyDescent="0.3">
      <c r="A313" s="71"/>
      <c r="B313" s="71"/>
      <c r="C313" s="4">
        <v>11039824</v>
      </c>
      <c r="D313" s="4" t="s">
        <v>8</v>
      </c>
      <c r="E313" s="6"/>
      <c r="F313" s="30">
        <v>0.10299999999999999</v>
      </c>
      <c r="G313" s="35">
        <v>0.10299999999999999</v>
      </c>
      <c r="H313" s="30">
        <f t="shared" si="4"/>
        <v>0</v>
      </c>
    </row>
    <row r="314" spans="1:8" x14ac:dyDescent="0.3">
      <c r="A314" s="71"/>
      <c r="B314" s="71"/>
      <c r="C314" s="4">
        <v>11039825</v>
      </c>
      <c r="D314" s="4" t="s">
        <v>8</v>
      </c>
      <c r="E314" s="6"/>
      <c r="F314" s="30">
        <v>3.5999999999999997E-2</v>
      </c>
      <c r="G314" s="30">
        <v>3.5999999999999997E-2</v>
      </c>
      <c r="H314" s="30">
        <f t="shared" si="4"/>
        <v>0</v>
      </c>
    </row>
    <row r="315" spans="1:8" x14ac:dyDescent="0.3">
      <c r="A315" s="71"/>
      <c r="B315" s="71"/>
      <c r="C315" s="4">
        <v>11039823</v>
      </c>
      <c r="D315" s="4" t="s">
        <v>8</v>
      </c>
      <c r="E315" s="6"/>
      <c r="F315" s="30">
        <v>1.4999999999999999E-2</v>
      </c>
      <c r="G315" s="30">
        <v>1.4999999999999999E-2</v>
      </c>
      <c r="H315" s="30">
        <f t="shared" si="4"/>
        <v>0</v>
      </c>
    </row>
    <row r="316" spans="1:8" x14ac:dyDescent="0.3">
      <c r="A316" s="71"/>
      <c r="B316" s="71"/>
      <c r="C316" s="4">
        <v>10971626</v>
      </c>
      <c r="D316" s="4" t="s">
        <v>8</v>
      </c>
      <c r="E316" s="6"/>
      <c r="F316" s="30">
        <v>0.17299999999999999</v>
      </c>
      <c r="G316" s="30">
        <v>0.17299999999999999</v>
      </c>
      <c r="H316" s="30">
        <f t="shared" si="4"/>
        <v>0</v>
      </c>
    </row>
    <row r="317" spans="1:8" x14ac:dyDescent="0.3">
      <c r="A317" s="71"/>
      <c r="B317" s="71"/>
      <c r="C317" s="4">
        <v>10968066</v>
      </c>
      <c r="D317" s="4" t="s">
        <v>8</v>
      </c>
      <c r="E317" s="6"/>
      <c r="F317" s="30">
        <v>0.19600000000000001</v>
      </c>
      <c r="G317" s="35">
        <v>0.19600000000000001</v>
      </c>
      <c r="H317" s="30">
        <f t="shared" si="4"/>
        <v>0</v>
      </c>
    </row>
    <row r="318" spans="1:8" x14ac:dyDescent="0.3">
      <c r="A318" s="71"/>
      <c r="B318" s="71"/>
      <c r="C318" s="4">
        <v>47946552</v>
      </c>
      <c r="D318" s="4" t="s">
        <v>274</v>
      </c>
      <c r="E318" s="45"/>
      <c r="F318" s="30">
        <v>1.08</v>
      </c>
      <c r="G318" s="35">
        <v>1.08</v>
      </c>
      <c r="H318" s="30">
        <f t="shared" si="4"/>
        <v>0</v>
      </c>
    </row>
    <row r="319" spans="1:8" x14ac:dyDescent="0.3">
      <c r="A319" s="71"/>
      <c r="B319" s="71"/>
      <c r="C319" s="4">
        <v>47948509</v>
      </c>
      <c r="D319" s="4" t="s">
        <v>10</v>
      </c>
      <c r="E319" s="45"/>
      <c r="F319" s="30">
        <v>0.48</v>
      </c>
      <c r="G319" s="35">
        <v>0.48</v>
      </c>
      <c r="H319" s="30">
        <f t="shared" si="4"/>
        <v>0</v>
      </c>
    </row>
    <row r="320" spans="1:8" x14ac:dyDescent="0.3">
      <c r="A320" s="71" t="s">
        <v>258</v>
      </c>
      <c r="B320" s="71" t="s">
        <v>333</v>
      </c>
      <c r="C320" s="4" t="s">
        <v>141</v>
      </c>
      <c r="D320" s="4" t="s">
        <v>6</v>
      </c>
      <c r="E320" s="6"/>
      <c r="F320" s="30">
        <v>0.03</v>
      </c>
      <c r="G320" s="35">
        <v>0.03</v>
      </c>
      <c r="H320" s="30">
        <f t="shared" si="4"/>
        <v>0</v>
      </c>
    </row>
    <row r="321" spans="1:8" x14ac:dyDescent="0.3">
      <c r="A321" s="71"/>
      <c r="B321" s="71"/>
      <c r="C321" s="4" t="s">
        <v>142</v>
      </c>
      <c r="D321" s="4" t="s">
        <v>8</v>
      </c>
      <c r="E321" s="6"/>
      <c r="F321" s="37">
        <v>0.01</v>
      </c>
      <c r="G321" s="35">
        <v>0.01</v>
      </c>
      <c r="H321" s="30">
        <f t="shared" si="4"/>
        <v>0</v>
      </c>
    </row>
    <row r="322" spans="1:8" x14ac:dyDescent="0.3">
      <c r="A322" s="71"/>
      <c r="B322" s="71"/>
      <c r="C322" s="4" t="s">
        <v>143</v>
      </c>
      <c r="D322" s="4" t="s">
        <v>10</v>
      </c>
      <c r="E322" s="45">
        <v>1</v>
      </c>
      <c r="F322" s="35">
        <v>279.64</v>
      </c>
      <c r="G322" s="35">
        <v>279.64</v>
      </c>
      <c r="H322" s="30">
        <f t="shared" ref="H322:H385" si="5">G322-F322</f>
        <v>0</v>
      </c>
    </row>
    <row r="323" spans="1:8" x14ac:dyDescent="0.3">
      <c r="A323" s="71" t="s">
        <v>258</v>
      </c>
      <c r="B323" s="71" t="s">
        <v>334</v>
      </c>
      <c r="C323" s="4" t="s">
        <v>144</v>
      </c>
      <c r="D323" s="4" t="s">
        <v>6</v>
      </c>
      <c r="E323" s="6"/>
      <c r="F323" s="35">
        <v>0.28699999999999998</v>
      </c>
      <c r="G323" s="35">
        <v>0.28699999999999998</v>
      </c>
      <c r="H323" s="30">
        <f t="shared" si="5"/>
        <v>0</v>
      </c>
    </row>
    <row r="324" spans="1:8" x14ac:dyDescent="0.3">
      <c r="A324" s="71"/>
      <c r="B324" s="71"/>
      <c r="C324" s="4" t="s">
        <v>145</v>
      </c>
      <c r="D324" s="4" t="s">
        <v>8</v>
      </c>
      <c r="E324" s="6"/>
      <c r="F324" s="35">
        <v>0.44700000000000001</v>
      </c>
      <c r="G324" s="35">
        <v>0.44700000000000001</v>
      </c>
      <c r="H324" s="30">
        <f t="shared" si="5"/>
        <v>0</v>
      </c>
    </row>
    <row r="325" spans="1:8" x14ac:dyDescent="0.3">
      <c r="A325" s="71"/>
      <c r="B325" s="71"/>
      <c r="C325" s="4" t="s">
        <v>146</v>
      </c>
      <c r="D325" s="4" t="s">
        <v>10</v>
      </c>
      <c r="E325" s="45">
        <v>1</v>
      </c>
      <c r="F325" s="35">
        <v>5.94</v>
      </c>
      <c r="G325" s="35">
        <v>5.94</v>
      </c>
      <c r="H325" s="30">
        <f t="shared" si="5"/>
        <v>0</v>
      </c>
    </row>
    <row r="326" spans="1:8" x14ac:dyDescent="0.3">
      <c r="A326" s="72" t="s">
        <v>52</v>
      </c>
      <c r="B326" s="72" t="s">
        <v>335</v>
      </c>
      <c r="C326" s="10" t="s">
        <v>147</v>
      </c>
      <c r="D326" s="10" t="s">
        <v>6</v>
      </c>
      <c r="E326" s="11"/>
      <c r="F326" s="34">
        <v>0.13100000000000001</v>
      </c>
      <c r="G326" s="81">
        <v>0.13100000000000001</v>
      </c>
      <c r="H326" s="30">
        <f t="shared" si="5"/>
        <v>0</v>
      </c>
    </row>
    <row r="327" spans="1:8" x14ac:dyDescent="0.3">
      <c r="A327" s="72"/>
      <c r="B327" s="72"/>
      <c r="C327" s="10" t="s">
        <v>148</v>
      </c>
      <c r="D327" s="10" t="s">
        <v>8</v>
      </c>
      <c r="E327" s="11"/>
      <c r="F327" s="34">
        <v>8.0000000000000002E-3</v>
      </c>
      <c r="G327" s="81">
        <v>8.0000000000000002E-3</v>
      </c>
      <c r="H327" s="30">
        <f t="shared" si="5"/>
        <v>0</v>
      </c>
    </row>
    <row r="328" spans="1:8" x14ac:dyDescent="0.3">
      <c r="A328" s="72"/>
      <c r="B328" s="72"/>
      <c r="C328" s="10" t="s">
        <v>149</v>
      </c>
      <c r="D328" s="10" t="s">
        <v>10</v>
      </c>
      <c r="E328" s="59">
        <v>1</v>
      </c>
      <c r="F328" s="34">
        <v>13.92</v>
      </c>
      <c r="G328" s="81">
        <v>15.73</v>
      </c>
      <c r="H328" s="30">
        <f t="shared" si="5"/>
        <v>1.8100000000000005</v>
      </c>
    </row>
    <row r="329" spans="1:8" x14ac:dyDescent="0.3">
      <c r="A329" s="72" t="s">
        <v>66</v>
      </c>
      <c r="B329" s="72" t="s">
        <v>336</v>
      </c>
      <c r="C329" s="10" t="s">
        <v>150</v>
      </c>
      <c r="D329" s="10" t="s">
        <v>6</v>
      </c>
      <c r="E329" s="11"/>
      <c r="F329" s="34">
        <v>1.74</v>
      </c>
      <c r="G329" s="81">
        <v>10.846</v>
      </c>
      <c r="H329" s="30">
        <f t="shared" si="5"/>
        <v>9.1059999999999999</v>
      </c>
    </row>
    <row r="330" spans="1:8" x14ac:dyDescent="0.3">
      <c r="A330" s="72"/>
      <c r="B330" s="72"/>
      <c r="C330" s="10" t="s">
        <v>151</v>
      </c>
      <c r="D330" s="10" t="s">
        <v>8</v>
      </c>
      <c r="E330" s="11"/>
      <c r="F330" s="34">
        <v>2E-3</v>
      </c>
      <c r="G330" s="81">
        <v>0.01</v>
      </c>
      <c r="H330" s="30">
        <f t="shared" si="5"/>
        <v>8.0000000000000002E-3</v>
      </c>
    </row>
    <row r="331" spans="1:8" x14ac:dyDescent="0.3">
      <c r="A331" s="72"/>
      <c r="B331" s="72"/>
      <c r="C331" s="10" t="s">
        <v>152</v>
      </c>
      <c r="D331" s="10" t="s">
        <v>10</v>
      </c>
      <c r="E331" s="59">
        <v>1</v>
      </c>
      <c r="F331" s="34">
        <v>3.58</v>
      </c>
      <c r="G331" s="81">
        <v>5.46</v>
      </c>
      <c r="H331" s="30">
        <f t="shared" si="5"/>
        <v>1.88</v>
      </c>
    </row>
    <row r="332" spans="1:8" x14ac:dyDescent="0.3">
      <c r="A332" s="71" t="s">
        <v>23</v>
      </c>
      <c r="B332" s="71" t="s">
        <v>337</v>
      </c>
      <c r="C332" s="80" t="s">
        <v>153</v>
      </c>
      <c r="D332" s="4" t="s">
        <v>6</v>
      </c>
      <c r="E332" s="6"/>
      <c r="F332" s="35">
        <v>0.44600000000000001</v>
      </c>
      <c r="G332" s="35">
        <v>0.44600000000000001</v>
      </c>
      <c r="H332" s="30">
        <f t="shared" si="5"/>
        <v>0</v>
      </c>
    </row>
    <row r="333" spans="1:8" x14ac:dyDescent="0.3">
      <c r="A333" s="71"/>
      <c r="B333" s="71"/>
      <c r="C333" s="80" t="s">
        <v>154</v>
      </c>
      <c r="D333" s="4" t="s">
        <v>6</v>
      </c>
      <c r="E333" s="6"/>
      <c r="F333" s="35">
        <v>8.9999999999999993E-3</v>
      </c>
      <c r="G333" s="35">
        <v>8.9999999999999993E-3</v>
      </c>
      <c r="H333" s="30">
        <f t="shared" si="5"/>
        <v>0</v>
      </c>
    </row>
    <row r="334" spans="1:8" x14ac:dyDescent="0.3">
      <c r="A334" s="71"/>
      <c r="B334" s="71"/>
      <c r="C334" s="80" t="s">
        <v>155</v>
      </c>
      <c r="D334" s="4" t="s">
        <v>6</v>
      </c>
      <c r="E334" s="6"/>
      <c r="F334" s="35">
        <v>9.4E-2</v>
      </c>
      <c r="G334" s="35">
        <v>9.4E-2</v>
      </c>
      <c r="H334" s="30">
        <f t="shared" si="5"/>
        <v>0</v>
      </c>
    </row>
    <row r="335" spans="1:8" x14ac:dyDescent="0.3">
      <c r="A335" s="71"/>
      <c r="B335" s="71"/>
      <c r="C335" s="80" t="s">
        <v>156</v>
      </c>
      <c r="D335" s="4" t="s">
        <v>6</v>
      </c>
      <c r="E335" s="6"/>
      <c r="F335" s="35">
        <v>1.41</v>
      </c>
      <c r="G335" s="35">
        <v>1.41</v>
      </c>
      <c r="H335" s="30">
        <f t="shared" si="5"/>
        <v>0</v>
      </c>
    </row>
    <row r="336" spans="1:8" x14ac:dyDescent="0.3">
      <c r="A336" s="71"/>
      <c r="B336" s="71"/>
      <c r="C336" s="80" t="s">
        <v>157</v>
      </c>
      <c r="D336" s="4" t="s">
        <v>8</v>
      </c>
      <c r="E336" s="6"/>
      <c r="F336" s="35">
        <v>0.63600000000000001</v>
      </c>
      <c r="G336" s="35">
        <v>0.63600000000000001</v>
      </c>
      <c r="H336" s="30">
        <f t="shared" si="5"/>
        <v>0</v>
      </c>
    </row>
    <row r="337" spans="1:8" x14ac:dyDescent="0.3">
      <c r="A337" s="71"/>
      <c r="B337" s="71"/>
      <c r="C337" s="80" t="s">
        <v>158</v>
      </c>
      <c r="D337" s="4" t="s">
        <v>8</v>
      </c>
      <c r="E337" s="6"/>
      <c r="F337" s="35">
        <v>8.9999999999999993E-3</v>
      </c>
      <c r="G337" s="35">
        <v>8.9999999999999993E-3</v>
      </c>
      <c r="H337" s="30">
        <f t="shared" si="5"/>
        <v>0</v>
      </c>
    </row>
    <row r="338" spans="1:8" x14ac:dyDescent="0.3">
      <c r="A338" s="71"/>
      <c r="B338" s="71"/>
      <c r="C338" s="80" t="s">
        <v>159</v>
      </c>
      <c r="D338" s="4" t="s">
        <v>8</v>
      </c>
      <c r="E338" s="6"/>
      <c r="F338" s="35">
        <v>0.26400000000000001</v>
      </c>
      <c r="G338" s="35">
        <v>0.26400000000000001</v>
      </c>
      <c r="H338" s="30">
        <f t="shared" si="5"/>
        <v>0</v>
      </c>
    </row>
    <row r="339" spans="1:8" x14ac:dyDescent="0.3">
      <c r="A339" s="71"/>
      <c r="B339" s="71"/>
      <c r="C339" s="80" t="s">
        <v>160</v>
      </c>
      <c r="D339" s="4" t="s">
        <v>8</v>
      </c>
      <c r="E339" s="6"/>
      <c r="F339" s="35">
        <v>0.26200000000000001</v>
      </c>
      <c r="G339" s="35">
        <v>0.26200000000000001</v>
      </c>
      <c r="H339" s="30">
        <f t="shared" si="5"/>
        <v>0</v>
      </c>
    </row>
    <row r="340" spans="1:8" x14ac:dyDescent="0.3">
      <c r="A340" s="71"/>
      <c r="B340" s="71"/>
      <c r="C340" s="80" t="s">
        <v>375</v>
      </c>
      <c r="D340" s="4" t="s">
        <v>274</v>
      </c>
      <c r="E340" s="45">
        <v>16</v>
      </c>
      <c r="F340" s="35">
        <v>1.97</v>
      </c>
      <c r="G340" s="35">
        <v>1.97</v>
      </c>
      <c r="H340" s="30">
        <f t="shared" si="5"/>
        <v>0</v>
      </c>
    </row>
    <row r="341" spans="1:8" x14ac:dyDescent="0.3">
      <c r="A341" s="71"/>
      <c r="B341" s="71"/>
      <c r="C341" s="80" t="s">
        <v>385</v>
      </c>
      <c r="D341" s="4" t="s">
        <v>10</v>
      </c>
      <c r="E341" s="45">
        <v>30</v>
      </c>
      <c r="F341" s="30">
        <v>0.47</v>
      </c>
      <c r="G341" s="30">
        <v>0.47</v>
      </c>
      <c r="H341" s="30">
        <f t="shared" si="5"/>
        <v>0</v>
      </c>
    </row>
    <row r="342" spans="1:8" ht="14.4" customHeight="1" x14ac:dyDescent="0.3">
      <c r="A342" s="71" t="s">
        <v>23</v>
      </c>
      <c r="B342" s="71" t="s">
        <v>338</v>
      </c>
      <c r="C342" s="80" t="s">
        <v>162</v>
      </c>
      <c r="D342" s="4" t="s">
        <v>6</v>
      </c>
      <c r="E342" s="6"/>
      <c r="F342" s="35">
        <v>0.22</v>
      </c>
      <c r="G342" s="35">
        <v>0.22</v>
      </c>
      <c r="H342" s="30">
        <f t="shared" si="5"/>
        <v>0</v>
      </c>
    </row>
    <row r="343" spans="1:8" x14ac:dyDescent="0.3">
      <c r="A343" s="71"/>
      <c r="B343" s="71"/>
      <c r="C343" s="80" t="s">
        <v>163</v>
      </c>
      <c r="D343" s="4" t="s">
        <v>8</v>
      </c>
      <c r="E343" s="6"/>
      <c r="F343" s="35">
        <v>4.5999999999999999E-2</v>
      </c>
      <c r="G343" s="35">
        <v>4.5999999999999999E-2</v>
      </c>
      <c r="H343" s="30">
        <f t="shared" si="5"/>
        <v>0</v>
      </c>
    </row>
    <row r="344" spans="1:8" x14ac:dyDescent="0.3">
      <c r="A344" s="71"/>
      <c r="B344" s="71"/>
      <c r="C344" s="80" t="s">
        <v>386</v>
      </c>
      <c r="D344" s="4" t="s">
        <v>10</v>
      </c>
      <c r="E344" s="45">
        <v>30</v>
      </c>
      <c r="F344" s="38">
        <v>0.74</v>
      </c>
      <c r="G344" s="38">
        <v>0.74</v>
      </c>
      <c r="H344" s="30">
        <f t="shared" si="5"/>
        <v>0</v>
      </c>
    </row>
    <row r="345" spans="1:8" x14ac:dyDescent="0.3">
      <c r="A345" s="72" t="s">
        <v>164</v>
      </c>
      <c r="B345" s="72" t="s">
        <v>339</v>
      </c>
      <c r="C345" s="10" t="s">
        <v>165</v>
      </c>
      <c r="D345" s="10" t="s">
        <v>6</v>
      </c>
      <c r="E345" s="11"/>
      <c r="F345" s="39">
        <v>1.2999999999999999E-2</v>
      </c>
      <c r="G345" s="81">
        <v>1.2999999999999999E-2</v>
      </c>
      <c r="H345" s="30">
        <f t="shared" si="5"/>
        <v>0</v>
      </c>
    </row>
    <row r="346" spans="1:8" x14ac:dyDescent="0.3">
      <c r="A346" s="72"/>
      <c r="B346" s="72"/>
      <c r="C346" s="10" t="s">
        <v>166</v>
      </c>
      <c r="D346" s="10" t="s">
        <v>6</v>
      </c>
      <c r="E346" s="11"/>
      <c r="F346" s="34">
        <v>0.32200000000000001</v>
      </c>
      <c r="G346" s="81">
        <v>0.32200000000000001</v>
      </c>
      <c r="H346" s="30">
        <f t="shared" si="5"/>
        <v>0</v>
      </c>
    </row>
    <row r="347" spans="1:8" x14ac:dyDescent="0.3">
      <c r="A347" s="72"/>
      <c r="B347" s="72"/>
      <c r="C347" s="10" t="s">
        <v>167</v>
      </c>
      <c r="D347" s="10" t="s">
        <v>6</v>
      </c>
      <c r="E347" s="11"/>
      <c r="F347" s="39">
        <v>3.1E-2</v>
      </c>
      <c r="G347" s="81">
        <v>3.1E-2</v>
      </c>
      <c r="H347" s="30">
        <f t="shared" si="5"/>
        <v>0</v>
      </c>
    </row>
    <row r="348" spans="1:8" x14ac:dyDescent="0.3">
      <c r="A348" s="72"/>
      <c r="B348" s="72"/>
      <c r="C348" s="10" t="s">
        <v>168</v>
      </c>
      <c r="D348" s="10" t="s">
        <v>6</v>
      </c>
      <c r="E348" s="11"/>
      <c r="F348" s="39">
        <v>0.72099999999999997</v>
      </c>
      <c r="G348" s="81">
        <v>0.72099999999999997</v>
      </c>
      <c r="H348" s="30">
        <f t="shared" si="5"/>
        <v>0</v>
      </c>
    </row>
    <row r="349" spans="1:8" x14ac:dyDescent="0.3">
      <c r="A349" s="72"/>
      <c r="B349" s="72"/>
      <c r="C349" s="10" t="s">
        <v>169</v>
      </c>
      <c r="D349" s="10" t="s">
        <v>6</v>
      </c>
      <c r="E349" s="11"/>
      <c r="F349" s="34">
        <v>0.20399999999999999</v>
      </c>
      <c r="G349" s="81">
        <v>0.20399999999999999</v>
      </c>
      <c r="H349" s="30">
        <f t="shared" si="5"/>
        <v>0</v>
      </c>
    </row>
    <row r="350" spans="1:8" x14ac:dyDescent="0.3">
      <c r="A350" s="72"/>
      <c r="B350" s="72"/>
      <c r="C350" s="10" t="s">
        <v>170</v>
      </c>
      <c r="D350" s="10" t="s">
        <v>8</v>
      </c>
      <c r="E350" s="11"/>
      <c r="F350" s="39">
        <v>1.0999999999999999E-2</v>
      </c>
      <c r="G350" s="81">
        <v>1.0999999999999999E-2</v>
      </c>
      <c r="H350" s="30">
        <f t="shared" si="5"/>
        <v>0</v>
      </c>
    </row>
    <row r="351" spans="1:8" x14ac:dyDescent="0.3">
      <c r="A351" s="72"/>
      <c r="B351" s="72"/>
      <c r="C351" s="10" t="s">
        <v>171</v>
      </c>
      <c r="D351" s="10" t="s">
        <v>8</v>
      </c>
      <c r="E351" s="11"/>
      <c r="F351" s="39">
        <v>0.64300000000000002</v>
      </c>
      <c r="G351" s="81">
        <v>0.64300000000000002</v>
      </c>
      <c r="H351" s="30">
        <f t="shared" si="5"/>
        <v>0</v>
      </c>
    </row>
    <row r="352" spans="1:8" x14ac:dyDescent="0.3">
      <c r="A352" s="72"/>
      <c r="B352" s="72"/>
      <c r="C352" s="10" t="s">
        <v>172</v>
      </c>
      <c r="D352" s="10" t="s">
        <v>8</v>
      </c>
      <c r="E352" s="11"/>
      <c r="F352" s="39">
        <v>2.3E-2</v>
      </c>
      <c r="G352" s="81">
        <v>0.23</v>
      </c>
      <c r="H352" s="30">
        <f t="shared" si="5"/>
        <v>0.20700000000000002</v>
      </c>
    </row>
    <row r="353" spans="1:8" x14ac:dyDescent="0.3">
      <c r="A353" s="72"/>
      <c r="B353" s="72"/>
      <c r="C353" s="10" t="s">
        <v>173</v>
      </c>
      <c r="D353" s="10" t="s">
        <v>8</v>
      </c>
      <c r="E353" s="11"/>
      <c r="F353" s="34">
        <v>0.41899999999999998</v>
      </c>
      <c r="G353" s="81">
        <v>3.5510000000000002</v>
      </c>
      <c r="H353" s="30">
        <f t="shared" si="5"/>
        <v>3.1320000000000001</v>
      </c>
    </row>
    <row r="354" spans="1:8" x14ac:dyDescent="0.3">
      <c r="A354" s="72"/>
      <c r="B354" s="72"/>
      <c r="C354" s="10" t="s">
        <v>174</v>
      </c>
      <c r="D354" s="10" t="s">
        <v>8</v>
      </c>
      <c r="E354" s="11"/>
      <c r="F354" s="39">
        <v>0.27900000000000003</v>
      </c>
      <c r="G354" s="81">
        <v>0.27900000000000003</v>
      </c>
      <c r="H354" s="30">
        <f t="shared" si="5"/>
        <v>0</v>
      </c>
    </row>
    <row r="355" spans="1:8" x14ac:dyDescent="0.3">
      <c r="A355" s="72"/>
      <c r="B355" s="72"/>
      <c r="C355" s="10" t="s">
        <v>376</v>
      </c>
      <c r="D355" s="10" t="s">
        <v>274</v>
      </c>
      <c r="E355" s="59">
        <v>16</v>
      </c>
      <c r="F355" s="39">
        <v>54.41</v>
      </c>
      <c r="G355" s="81">
        <v>199.65</v>
      </c>
      <c r="H355" s="30">
        <f t="shared" si="5"/>
        <v>145.24</v>
      </c>
    </row>
    <row r="356" spans="1:8" x14ac:dyDescent="0.3">
      <c r="A356" s="72"/>
      <c r="B356" s="72"/>
      <c r="C356" s="10" t="s">
        <v>175</v>
      </c>
      <c r="D356" s="10" t="s">
        <v>10</v>
      </c>
      <c r="E356" s="59">
        <v>30</v>
      </c>
      <c r="F356" s="39">
        <v>0.88</v>
      </c>
      <c r="G356" s="81">
        <v>0.88</v>
      </c>
      <c r="H356" s="30">
        <f t="shared" si="5"/>
        <v>0</v>
      </c>
    </row>
    <row r="357" spans="1:8" x14ac:dyDescent="0.3">
      <c r="A357" s="72" t="s">
        <v>164</v>
      </c>
      <c r="B357" s="72" t="s">
        <v>340</v>
      </c>
      <c r="C357" s="10" t="s">
        <v>176</v>
      </c>
      <c r="D357" s="10" t="s">
        <v>6</v>
      </c>
      <c r="E357" s="11"/>
      <c r="F357" s="39">
        <v>2.819</v>
      </c>
      <c r="G357" s="81">
        <v>2.819</v>
      </c>
      <c r="H357" s="30">
        <f t="shared" si="5"/>
        <v>0</v>
      </c>
    </row>
    <row r="358" spans="1:8" x14ac:dyDescent="0.3">
      <c r="A358" s="72"/>
      <c r="B358" s="72"/>
      <c r="C358" s="10" t="s">
        <v>177</v>
      </c>
      <c r="D358" s="10" t="s">
        <v>6</v>
      </c>
      <c r="E358" s="11"/>
      <c r="F358" s="34">
        <v>1.0999999999999999E-2</v>
      </c>
      <c r="G358" s="81">
        <v>1.0999999999999999E-2</v>
      </c>
      <c r="H358" s="30">
        <f t="shared" si="5"/>
        <v>0</v>
      </c>
    </row>
    <row r="359" spans="1:8" x14ac:dyDescent="0.3">
      <c r="A359" s="72"/>
      <c r="B359" s="72"/>
      <c r="C359" s="10" t="s">
        <v>178</v>
      </c>
      <c r="D359" s="10" t="s">
        <v>6</v>
      </c>
      <c r="E359" s="11"/>
      <c r="F359" s="34">
        <v>1.4999999999999999E-2</v>
      </c>
      <c r="G359" s="81">
        <v>1.4999999999999999E-2</v>
      </c>
      <c r="H359" s="30">
        <f t="shared" si="5"/>
        <v>0</v>
      </c>
    </row>
    <row r="360" spans="1:8" x14ac:dyDescent="0.3">
      <c r="A360" s="72"/>
      <c r="B360" s="72"/>
      <c r="C360" s="10" t="s">
        <v>179</v>
      </c>
      <c r="D360" s="10" t="s">
        <v>6</v>
      </c>
      <c r="E360" s="11"/>
      <c r="F360" s="34">
        <v>3.1320000000000001</v>
      </c>
      <c r="G360" s="81">
        <v>7.4429999999999996</v>
      </c>
      <c r="H360" s="30">
        <f t="shared" si="5"/>
        <v>4.3109999999999999</v>
      </c>
    </row>
    <row r="361" spans="1:8" x14ac:dyDescent="0.3">
      <c r="A361" s="72"/>
      <c r="B361" s="72"/>
      <c r="C361" s="10" t="s">
        <v>180</v>
      </c>
      <c r="D361" s="10" t="s">
        <v>6</v>
      </c>
      <c r="E361" s="11"/>
      <c r="F361" s="34">
        <v>1.05</v>
      </c>
      <c r="G361" s="81">
        <v>1.05</v>
      </c>
      <c r="H361" s="30">
        <f t="shared" si="5"/>
        <v>0</v>
      </c>
    </row>
    <row r="362" spans="1:8" x14ac:dyDescent="0.3">
      <c r="A362" s="72"/>
      <c r="B362" s="72"/>
      <c r="C362" s="10" t="s">
        <v>181</v>
      </c>
      <c r="D362" s="10" t="s">
        <v>8</v>
      </c>
      <c r="E362" s="11"/>
      <c r="F362" s="39">
        <v>0.16900000000000001</v>
      </c>
      <c r="G362" s="81">
        <v>0.16900000000000001</v>
      </c>
      <c r="H362" s="30">
        <f t="shared" si="5"/>
        <v>0</v>
      </c>
    </row>
    <row r="363" spans="1:8" x14ac:dyDescent="0.3">
      <c r="A363" s="72"/>
      <c r="B363" s="72"/>
      <c r="C363" s="10" t="s">
        <v>182</v>
      </c>
      <c r="D363" s="10" t="s">
        <v>8</v>
      </c>
      <c r="E363" s="11"/>
      <c r="F363" s="34">
        <v>1.4E-2</v>
      </c>
      <c r="G363" s="81">
        <v>1.4E-2</v>
      </c>
      <c r="H363" s="30">
        <f t="shared" si="5"/>
        <v>0</v>
      </c>
    </row>
    <row r="364" spans="1:8" x14ac:dyDescent="0.3">
      <c r="A364" s="72"/>
      <c r="B364" s="72"/>
      <c r="C364" s="10" t="s">
        <v>183</v>
      </c>
      <c r="D364" s="10" t="s">
        <v>8</v>
      </c>
      <c r="E364" s="11"/>
      <c r="F364" s="34">
        <v>0.46200000000000002</v>
      </c>
      <c r="G364" s="34">
        <v>0.46200000000000002</v>
      </c>
      <c r="H364" s="30">
        <f t="shared" si="5"/>
        <v>0</v>
      </c>
    </row>
    <row r="365" spans="1:8" x14ac:dyDescent="0.3">
      <c r="A365" s="72"/>
      <c r="B365" s="72"/>
      <c r="C365" s="10" t="s">
        <v>184</v>
      </c>
      <c r="D365" s="10" t="s">
        <v>8</v>
      </c>
      <c r="E365" s="11"/>
      <c r="F365" s="34">
        <v>2.0150000000000001</v>
      </c>
      <c r="G365" s="81">
        <v>57.28</v>
      </c>
      <c r="H365" s="30">
        <f t="shared" si="5"/>
        <v>55.265000000000001</v>
      </c>
    </row>
    <row r="366" spans="1:8" x14ac:dyDescent="0.3">
      <c r="A366" s="72"/>
      <c r="B366" s="72"/>
      <c r="C366" s="10" t="s">
        <v>185</v>
      </c>
      <c r="D366" s="10" t="s">
        <v>8</v>
      </c>
      <c r="E366" s="11"/>
      <c r="F366" s="39">
        <v>4.9000000000000002E-2</v>
      </c>
      <c r="G366" s="81">
        <v>4.9000000000000002E-2</v>
      </c>
      <c r="H366" s="30">
        <f t="shared" si="5"/>
        <v>0</v>
      </c>
    </row>
    <row r="367" spans="1:8" x14ac:dyDescent="0.3">
      <c r="A367" s="72"/>
      <c r="B367" s="72"/>
      <c r="C367" s="10" t="s">
        <v>377</v>
      </c>
      <c r="D367" s="10" t="s">
        <v>274</v>
      </c>
      <c r="E367" s="59">
        <v>16</v>
      </c>
      <c r="F367" s="39">
        <v>58.84</v>
      </c>
      <c r="G367" s="81">
        <v>174.32</v>
      </c>
      <c r="H367" s="30">
        <f t="shared" si="5"/>
        <v>115.47999999999999</v>
      </c>
    </row>
    <row r="368" spans="1:8" x14ac:dyDescent="0.3">
      <c r="A368" s="72"/>
      <c r="B368" s="72"/>
      <c r="C368" s="10" t="s">
        <v>186</v>
      </c>
      <c r="D368" s="10" t="s">
        <v>10</v>
      </c>
      <c r="E368" s="59">
        <v>30</v>
      </c>
      <c r="F368" s="34">
        <v>0.25</v>
      </c>
      <c r="G368" s="81">
        <v>0.25</v>
      </c>
      <c r="H368" s="30">
        <f t="shared" si="5"/>
        <v>0</v>
      </c>
    </row>
    <row r="369" spans="1:8" x14ac:dyDescent="0.3">
      <c r="A369" s="72" t="s">
        <v>164</v>
      </c>
      <c r="B369" s="72" t="s">
        <v>341</v>
      </c>
      <c r="C369" s="10" t="s">
        <v>187</v>
      </c>
      <c r="D369" s="10" t="s">
        <v>6</v>
      </c>
      <c r="E369" s="11"/>
      <c r="F369" s="39">
        <v>131.69399999999999</v>
      </c>
      <c r="G369" s="81">
        <v>131.69399999999999</v>
      </c>
      <c r="H369" s="30">
        <f t="shared" si="5"/>
        <v>0</v>
      </c>
    </row>
    <row r="370" spans="1:8" x14ac:dyDescent="0.3">
      <c r="A370" s="72"/>
      <c r="B370" s="72"/>
      <c r="C370" s="10" t="s">
        <v>188</v>
      </c>
      <c r="D370" s="10" t="s">
        <v>6</v>
      </c>
      <c r="E370" s="11"/>
      <c r="F370" s="34">
        <v>8.4000000000000005E-2</v>
      </c>
      <c r="G370" s="81">
        <v>8.4000000000000005E-2</v>
      </c>
      <c r="H370" s="30">
        <f t="shared" si="5"/>
        <v>0</v>
      </c>
    </row>
    <row r="371" spans="1:8" x14ac:dyDescent="0.3">
      <c r="A371" s="72"/>
      <c r="B371" s="72"/>
      <c r="C371" s="10" t="s">
        <v>189</v>
      </c>
      <c r="D371" s="10" t="s">
        <v>6</v>
      </c>
      <c r="E371" s="11"/>
      <c r="F371" s="39">
        <v>0.76</v>
      </c>
      <c r="G371" s="81">
        <v>0.76</v>
      </c>
      <c r="H371" s="30">
        <f t="shared" si="5"/>
        <v>0</v>
      </c>
    </row>
    <row r="372" spans="1:8" x14ac:dyDescent="0.3">
      <c r="A372" s="72"/>
      <c r="B372" s="72"/>
      <c r="C372" s="10" t="s">
        <v>190</v>
      </c>
      <c r="D372" s="10" t="s">
        <v>6</v>
      </c>
      <c r="E372" s="11"/>
      <c r="F372" s="39">
        <v>0.30399999999999999</v>
      </c>
      <c r="G372" s="81">
        <v>0.30399999999999999</v>
      </c>
      <c r="H372" s="30">
        <f t="shared" si="5"/>
        <v>0</v>
      </c>
    </row>
    <row r="373" spans="1:8" x14ac:dyDescent="0.3">
      <c r="A373" s="72"/>
      <c r="B373" s="72"/>
      <c r="C373" s="10" t="s">
        <v>191</v>
      </c>
      <c r="D373" s="10" t="s">
        <v>6</v>
      </c>
      <c r="E373" s="11"/>
      <c r="F373" s="34">
        <v>0.442</v>
      </c>
      <c r="G373" s="81">
        <v>0.442</v>
      </c>
      <c r="H373" s="30">
        <f t="shared" si="5"/>
        <v>0</v>
      </c>
    </row>
    <row r="374" spans="1:8" x14ac:dyDescent="0.3">
      <c r="A374" s="72"/>
      <c r="B374" s="72"/>
      <c r="C374" s="10" t="s">
        <v>192</v>
      </c>
      <c r="D374" s="10" t="s">
        <v>8</v>
      </c>
      <c r="E374" s="11"/>
      <c r="F374" s="34">
        <v>1.4E-2</v>
      </c>
      <c r="G374" s="34">
        <v>1.4E-2</v>
      </c>
      <c r="H374" s="30">
        <f t="shared" si="5"/>
        <v>0</v>
      </c>
    </row>
    <row r="375" spans="1:8" x14ac:dyDescent="0.3">
      <c r="A375" s="72"/>
      <c r="B375" s="72"/>
      <c r="C375" s="10" t="s">
        <v>193</v>
      </c>
      <c r="D375" s="10" t="s">
        <v>8</v>
      </c>
      <c r="E375" s="11"/>
      <c r="F375" s="39">
        <v>0.39500000000000002</v>
      </c>
      <c r="G375" s="81">
        <v>0.39500000000000002</v>
      </c>
      <c r="H375" s="30">
        <f t="shared" si="5"/>
        <v>0</v>
      </c>
    </row>
    <row r="376" spans="1:8" x14ac:dyDescent="0.3">
      <c r="A376" s="72"/>
      <c r="B376" s="72"/>
      <c r="C376" s="10" t="s">
        <v>194</v>
      </c>
      <c r="D376" s="10" t="s">
        <v>8</v>
      </c>
      <c r="E376" s="11"/>
      <c r="F376" s="39">
        <v>0.12</v>
      </c>
      <c r="G376" s="39">
        <v>0.12</v>
      </c>
      <c r="H376" s="30">
        <f t="shared" si="5"/>
        <v>0</v>
      </c>
    </row>
    <row r="377" spans="1:8" x14ac:dyDescent="0.3">
      <c r="A377" s="72"/>
      <c r="B377" s="72"/>
      <c r="C377" s="10" t="s">
        <v>195</v>
      </c>
      <c r="D377" s="10" t="s">
        <v>8</v>
      </c>
      <c r="E377" s="11"/>
      <c r="F377" s="39">
        <v>0.20899999999999999</v>
      </c>
      <c r="G377" s="81">
        <v>0.20899999999999999</v>
      </c>
      <c r="H377" s="30">
        <f t="shared" si="5"/>
        <v>0</v>
      </c>
    </row>
    <row r="378" spans="1:8" x14ac:dyDescent="0.3">
      <c r="A378" s="72"/>
      <c r="B378" s="72"/>
      <c r="C378" s="10" t="s">
        <v>196</v>
      </c>
      <c r="D378" s="10" t="s">
        <v>8</v>
      </c>
      <c r="E378" s="11"/>
      <c r="F378" s="34">
        <v>9.2999999999999999E-2</v>
      </c>
      <c r="G378" s="81">
        <v>9.2999999999999999E-2</v>
      </c>
      <c r="H378" s="30">
        <f t="shared" si="5"/>
        <v>0</v>
      </c>
    </row>
    <row r="379" spans="1:8" x14ac:dyDescent="0.3">
      <c r="A379" s="72"/>
      <c r="B379" s="72"/>
      <c r="C379" s="10" t="s">
        <v>378</v>
      </c>
      <c r="D379" s="10" t="s">
        <v>274</v>
      </c>
      <c r="E379" s="59">
        <v>16</v>
      </c>
      <c r="F379" s="34">
        <v>0.6</v>
      </c>
      <c r="G379" s="81">
        <v>0.6</v>
      </c>
      <c r="H379" s="30">
        <f t="shared" si="5"/>
        <v>0</v>
      </c>
    </row>
    <row r="380" spans="1:8" x14ac:dyDescent="0.3">
      <c r="A380" s="72"/>
      <c r="B380" s="72"/>
      <c r="C380" s="10" t="s">
        <v>197</v>
      </c>
      <c r="D380" s="10" t="s">
        <v>10</v>
      </c>
      <c r="E380" s="59">
        <v>30</v>
      </c>
      <c r="F380" s="34">
        <v>0.52</v>
      </c>
      <c r="G380" s="81">
        <v>0.52</v>
      </c>
      <c r="H380" s="30">
        <f t="shared" si="5"/>
        <v>0</v>
      </c>
    </row>
    <row r="381" spans="1:8" x14ac:dyDescent="0.3">
      <c r="A381" s="72" t="s">
        <v>164</v>
      </c>
      <c r="B381" s="72" t="s">
        <v>342</v>
      </c>
      <c r="C381" s="10" t="s">
        <v>198</v>
      </c>
      <c r="D381" s="10" t="s">
        <v>6</v>
      </c>
      <c r="E381" s="11"/>
      <c r="F381" s="34">
        <v>2.5659999999999998</v>
      </c>
      <c r="G381" s="34">
        <v>2.5659999999999998</v>
      </c>
      <c r="H381" s="30">
        <f t="shared" si="5"/>
        <v>0</v>
      </c>
    </row>
    <row r="382" spans="1:8" x14ac:dyDescent="0.3">
      <c r="A382" s="72"/>
      <c r="B382" s="72"/>
      <c r="C382" s="10" t="s">
        <v>199</v>
      </c>
      <c r="D382" s="10" t="s">
        <v>6</v>
      </c>
      <c r="E382" s="11"/>
      <c r="F382" s="34">
        <v>0.154</v>
      </c>
      <c r="G382" s="34">
        <v>0.154</v>
      </c>
      <c r="H382" s="30">
        <f t="shared" si="5"/>
        <v>0</v>
      </c>
    </row>
    <row r="383" spans="1:8" x14ac:dyDescent="0.3">
      <c r="A383" s="72"/>
      <c r="B383" s="72"/>
      <c r="C383" s="10" t="s">
        <v>200</v>
      </c>
      <c r="D383" s="10" t="s">
        <v>6</v>
      </c>
      <c r="E383" s="11"/>
      <c r="F383" s="39">
        <v>0.21</v>
      </c>
      <c r="G383" s="81">
        <v>0.21</v>
      </c>
      <c r="H383" s="30">
        <f t="shared" si="5"/>
        <v>0</v>
      </c>
    </row>
    <row r="384" spans="1:8" x14ac:dyDescent="0.3">
      <c r="A384" s="72"/>
      <c r="B384" s="72"/>
      <c r="C384" s="10" t="s">
        <v>201</v>
      </c>
      <c r="D384" s="10" t="s">
        <v>6</v>
      </c>
      <c r="E384" s="11"/>
      <c r="F384" s="39">
        <v>0.376</v>
      </c>
      <c r="G384" s="39">
        <v>0.376</v>
      </c>
      <c r="H384" s="30">
        <f t="shared" si="5"/>
        <v>0</v>
      </c>
    </row>
    <row r="385" spans="1:8" x14ac:dyDescent="0.3">
      <c r="A385" s="72"/>
      <c r="B385" s="72"/>
      <c r="C385" s="10" t="s">
        <v>202</v>
      </c>
      <c r="D385" s="10" t="s">
        <v>6</v>
      </c>
      <c r="E385" s="11"/>
      <c r="F385" s="34">
        <v>0.20499999999999999</v>
      </c>
      <c r="G385" s="81">
        <v>0.34300000000000003</v>
      </c>
      <c r="H385" s="30">
        <f t="shared" si="5"/>
        <v>0.13800000000000004</v>
      </c>
    </row>
    <row r="386" spans="1:8" x14ac:dyDescent="0.3">
      <c r="A386" s="72"/>
      <c r="B386" s="72"/>
      <c r="C386" s="10" t="s">
        <v>203</v>
      </c>
      <c r="D386" s="10" t="s">
        <v>8</v>
      </c>
      <c r="E386" s="11"/>
      <c r="F386" s="34">
        <v>1.4E-2</v>
      </c>
      <c r="G386" s="34">
        <v>1.4E-2</v>
      </c>
      <c r="H386" s="30">
        <f t="shared" ref="H386:H449" si="6">G386-F386</f>
        <v>0</v>
      </c>
    </row>
    <row r="387" spans="1:8" x14ac:dyDescent="0.3">
      <c r="A387" s="72"/>
      <c r="B387" s="72"/>
      <c r="C387" s="10" t="s">
        <v>204</v>
      </c>
      <c r="D387" s="10" t="s">
        <v>8</v>
      </c>
      <c r="E387" s="11"/>
      <c r="F387" s="39">
        <v>0.255</v>
      </c>
      <c r="G387" s="81">
        <v>0.255</v>
      </c>
      <c r="H387" s="30">
        <f t="shared" si="6"/>
        <v>0</v>
      </c>
    </row>
    <row r="388" spans="1:8" x14ac:dyDescent="0.3">
      <c r="A388" s="72"/>
      <c r="B388" s="72"/>
      <c r="C388" s="10" t="s">
        <v>205</v>
      </c>
      <c r="D388" s="10" t="s">
        <v>8</v>
      </c>
      <c r="E388" s="11"/>
      <c r="F388" s="39">
        <v>9.8000000000000004E-2</v>
      </c>
      <c r="G388" s="81">
        <v>9.8000000000000004E-2</v>
      </c>
      <c r="H388" s="30">
        <f t="shared" si="6"/>
        <v>0</v>
      </c>
    </row>
    <row r="389" spans="1:8" x14ac:dyDescent="0.3">
      <c r="A389" s="72"/>
      <c r="B389" s="72"/>
      <c r="C389" s="10" t="s">
        <v>206</v>
      </c>
      <c r="D389" s="10" t="s">
        <v>8</v>
      </c>
      <c r="E389" s="11"/>
      <c r="F389" s="39">
        <v>0.52600000000000002</v>
      </c>
      <c r="G389" s="81">
        <v>0.54200000000000004</v>
      </c>
      <c r="H389" s="30">
        <f t="shared" si="6"/>
        <v>1.6000000000000014E-2</v>
      </c>
    </row>
    <row r="390" spans="1:8" x14ac:dyDescent="0.3">
      <c r="A390" s="72"/>
      <c r="B390" s="72"/>
      <c r="C390" s="10" t="s">
        <v>207</v>
      </c>
      <c r="D390" s="10" t="s">
        <v>8</v>
      </c>
      <c r="E390" s="11"/>
      <c r="F390" s="34">
        <v>3.7999999999999999E-2</v>
      </c>
      <c r="G390" s="81">
        <v>6.2E-2</v>
      </c>
      <c r="H390" s="30">
        <f t="shared" si="6"/>
        <v>2.4E-2</v>
      </c>
    </row>
    <row r="391" spans="1:8" x14ac:dyDescent="0.3">
      <c r="A391" s="72"/>
      <c r="B391" s="72"/>
      <c r="C391" s="10" t="s">
        <v>379</v>
      </c>
      <c r="D391" s="10" t="s">
        <v>274</v>
      </c>
      <c r="E391" s="59">
        <v>16</v>
      </c>
      <c r="F391" s="34">
        <v>0.49</v>
      </c>
      <c r="G391" s="81">
        <v>0.49</v>
      </c>
      <c r="H391" s="30">
        <f t="shared" si="6"/>
        <v>0</v>
      </c>
    </row>
    <row r="392" spans="1:8" x14ac:dyDescent="0.3">
      <c r="A392" s="72"/>
      <c r="B392" s="72"/>
      <c r="C392" s="10" t="s">
        <v>208</v>
      </c>
      <c r="D392" s="10" t="s">
        <v>10</v>
      </c>
      <c r="E392" s="59">
        <v>30</v>
      </c>
      <c r="F392" s="34">
        <v>0.38</v>
      </c>
      <c r="G392" s="81">
        <v>0.38</v>
      </c>
      <c r="H392" s="30">
        <f t="shared" si="6"/>
        <v>0</v>
      </c>
    </row>
    <row r="393" spans="1:8" ht="14.4" customHeight="1" x14ac:dyDescent="0.3">
      <c r="A393" s="71" t="s">
        <v>23</v>
      </c>
      <c r="B393" s="71" t="s">
        <v>343</v>
      </c>
      <c r="C393" s="80" t="s">
        <v>209</v>
      </c>
      <c r="D393" s="4" t="s">
        <v>6</v>
      </c>
      <c r="E393" s="6"/>
      <c r="F393" s="35">
        <v>5.2999999999999999E-2</v>
      </c>
      <c r="G393" s="35">
        <v>5.2999999999999999E-2</v>
      </c>
      <c r="H393" s="30">
        <f t="shared" si="6"/>
        <v>0</v>
      </c>
    </row>
    <row r="394" spans="1:8" x14ac:dyDescent="0.3">
      <c r="A394" s="71"/>
      <c r="B394" s="71"/>
      <c r="C394" s="80" t="s">
        <v>210</v>
      </c>
      <c r="D394" s="4" t="s">
        <v>6</v>
      </c>
      <c r="E394" s="6"/>
      <c r="F394" s="35">
        <v>0.32700000000000001</v>
      </c>
      <c r="G394" s="35">
        <v>0.32700000000000001</v>
      </c>
      <c r="H394" s="30">
        <f t="shared" si="6"/>
        <v>0</v>
      </c>
    </row>
    <row r="395" spans="1:8" x14ac:dyDescent="0.3">
      <c r="A395" s="71"/>
      <c r="B395" s="71"/>
      <c r="C395" s="80" t="s">
        <v>211</v>
      </c>
      <c r="D395" s="4" t="s">
        <v>6</v>
      </c>
      <c r="E395" s="6"/>
      <c r="F395" s="35">
        <v>5.3999999999999999E-2</v>
      </c>
      <c r="G395" s="35">
        <v>5.3999999999999999E-2</v>
      </c>
      <c r="H395" s="30">
        <f t="shared" si="6"/>
        <v>0</v>
      </c>
    </row>
    <row r="396" spans="1:8" x14ac:dyDescent="0.3">
      <c r="A396" s="71"/>
      <c r="B396" s="71"/>
      <c r="C396" s="80" t="s">
        <v>212</v>
      </c>
      <c r="D396" s="4" t="s">
        <v>6</v>
      </c>
      <c r="E396" s="6"/>
      <c r="F396" s="35">
        <v>0.44900000000000001</v>
      </c>
      <c r="G396" s="35">
        <v>0.44900000000000001</v>
      </c>
      <c r="H396" s="30">
        <f t="shared" si="6"/>
        <v>0</v>
      </c>
    </row>
    <row r="397" spans="1:8" x14ac:dyDescent="0.3">
      <c r="A397" s="71"/>
      <c r="B397" s="71"/>
      <c r="C397" s="80" t="s">
        <v>213</v>
      </c>
      <c r="D397" s="4" t="s">
        <v>6</v>
      </c>
      <c r="E397" s="6"/>
      <c r="F397" s="35">
        <v>0.48599999999999999</v>
      </c>
      <c r="G397" s="35">
        <v>0.48599999999999999</v>
      </c>
      <c r="H397" s="30">
        <f t="shared" si="6"/>
        <v>0</v>
      </c>
    </row>
    <row r="398" spans="1:8" x14ac:dyDescent="0.3">
      <c r="A398" s="71"/>
      <c r="B398" s="71"/>
      <c r="C398" s="80" t="s">
        <v>214</v>
      </c>
      <c r="D398" s="4" t="s">
        <v>8</v>
      </c>
      <c r="E398" s="6"/>
      <c r="F398" s="35">
        <v>0.69799999999999995</v>
      </c>
      <c r="G398" s="35">
        <v>0.69799999999999995</v>
      </c>
      <c r="H398" s="30">
        <f t="shared" si="6"/>
        <v>0</v>
      </c>
    </row>
    <row r="399" spans="1:8" x14ac:dyDescent="0.3">
      <c r="A399" s="71"/>
      <c r="B399" s="71"/>
      <c r="C399" s="80" t="s">
        <v>215</v>
      </c>
      <c r="D399" s="4" t="s">
        <v>8</v>
      </c>
      <c r="E399" s="6"/>
      <c r="F399" s="35">
        <v>0.378</v>
      </c>
      <c r="G399" s="35">
        <v>0.378</v>
      </c>
      <c r="H399" s="30">
        <f t="shared" si="6"/>
        <v>0</v>
      </c>
    </row>
    <row r="400" spans="1:8" x14ac:dyDescent="0.3">
      <c r="A400" s="71"/>
      <c r="B400" s="71"/>
      <c r="C400" s="80" t="s">
        <v>216</v>
      </c>
      <c r="D400" s="4" t="s">
        <v>8</v>
      </c>
      <c r="E400" s="6"/>
      <c r="F400" s="35">
        <v>1.6E-2</v>
      </c>
      <c r="G400" s="35">
        <v>1.6E-2</v>
      </c>
      <c r="H400" s="30">
        <f t="shared" si="6"/>
        <v>0</v>
      </c>
    </row>
    <row r="401" spans="1:8" x14ac:dyDescent="0.3">
      <c r="A401" s="71"/>
      <c r="B401" s="71"/>
      <c r="C401" s="80" t="s">
        <v>217</v>
      </c>
      <c r="D401" s="4" t="s">
        <v>8</v>
      </c>
      <c r="E401" s="6"/>
      <c r="F401" s="35">
        <v>0.27900000000000003</v>
      </c>
      <c r="G401" s="35">
        <v>0.27900000000000003</v>
      </c>
      <c r="H401" s="30">
        <f t="shared" si="6"/>
        <v>0</v>
      </c>
    </row>
    <row r="402" spans="1:8" x14ac:dyDescent="0.3">
      <c r="A402" s="71"/>
      <c r="B402" s="71"/>
      <c r="C402" s="80" t="s">
        <v>218</v>
      </c>
      <c r="D402" s="4" t="s">
        <v>8</v>
      </c>
      <c r="E402" s="6"/>
      <c r="F402" s="35">
        <v>0.20300000000000001</v>
      </c>
      <c r="G402" s="35">
        <v>0.20300000000000001</v>
      </c>
      <c r="H402" s="30">
        <f t="shared" si="6"/>
        <v>0</v>
      </c>
    </row>
    <row r="403" spans="1:8" x14ac:dyDescent="0.3">
      <c r="A403" s="71"/>
      <c r="B403" s="71"/>
      <c r="C403" s="80" t="s">
        <v>380</v>
      </c>
      <c r="D403" s="4" t="s">
        <v>274</v>
      </c>
      <c r="E403" s="45">
        <v>16</v>
      </c>
      <c r="F403" s="35">
        <v>0.6</v>
      </c>
      <c r="G403" s="35">
        <v>0.6</v>
      </c>
      <c r="H403" s="30">
        <f t="shared" si="6"/>
        <v>0</v>
      </c>
    </row>
    <row r="404" spans="1:8" x14ac:dyDescent="0.3">
      <c r="A404" s="71"/>
      <c r="B404" s="71"/>
      <c r="C404" s="80" t="s">
        <v>161</v>
      </c>
      <c r="D404" s="4" t="s">
        <v>10</v>
      </c>
      <c r="E404" s="45">
        <v>30</v>
      </c>
      <c r="F404" s="35">
        <v>0.67</v>
      </c>
      <c r="G404" s="35">
        <v>0.67</v>
      </c>
      <c r="H404" s="30">
        <f t="shared" si="6"/>
        <v>0</v>
      </c>
    </row>
    <row r="405" spans="1:8" x14ac:dyDescent="0.3">
      <c r="A405" s="71" t="s">
        <v>23</v>
      </c>
      <c r="B405" s="71" t="s">
        <v>344</v>
      </c>
      <c r="C405" s="80" t="s">
        <v>219</v>
      </c>
      <c r="D405" s="4" t="s">
        <v>6</v>
      </c>
      <c r="E405" s="6"/>
      <c r="F405" s="35">
        <v>0.109</v>
      </c>
      <c r="G405" s="35">
        <v>0.109</v>
      </c>
      <c r="H405" s="30">
        <f t="shared" si="6"/>
        <v>0</v>
      </c>
    </row>
    <row r="406" spans="1:8" x14ac:dyDescent="0.3">
      <c r="A406" s="71"/>
      <c r="B406" s="71"/>
      <c r="C406" s="80" t="s">
        <v>220</v>
      </c>
      <c r="D406" s="4" t="s">
        <v>6</v>
      </c>
      <c r="E406" s="6"/>
      <c r="F406" s="35">
        <v>2.1000000000000001E-2</v>
      </c>
      <c r="G406" s="35">
        <v>2.1000000000000001E-2</v>
      </c>
      <c r="H406" s="30">
        <f t="shared" si="6"/>
        <v>0</v>
      </c>
    </row>
    <row r="407" spans="1:8" x14ac:dyDescent="0.3">
      <c r="A407" s="71"/>
      <c r="B407" s="71"/>
      <c r="C407" s="80" t="s">
        <v>221</v>
      </c>
      <c r="D407" s="4" t="s">
        <v>6</v>
      </c>
      <c r="E407" s="6"/>
      <c r="F407" s="35">
        <v>0.182</v>
      </c>
      <c r="G407" s="35">
        <v>0.182</v>
      </c>
      <c r="H407" s="30">
        <f t="shared" si="6"/>
        <v>0</v>
      </c>
    </row>
    <row r="408" spans="1:8" x14ac:dyDescent="0.3">
      <c r="A408" s="71"/>
      <c r="B408" s="71"/>
      <c r="C408" s="80" t="s">
        <v>222</v>
      </c>
      <c r="D408" s="4" t="s">
        <v>6</v>
      </c>
      <c r="E408" s="6"/>
      <c r="F408" s="35">
        <v>0.158</v>
      </c>
      <c r="G408" s="35">
        <v>0.158</v>
      </c>
      <c r="H408" s="30">
        <f t="shared" si="6"/>
        <v>0</v>
      </c>
    </row>
    <row r="409" spans="1:8" x14ac:dyDescent="0.3">
      <c r="A409" s="71"/>
      <c r="B409" s="71"/>
      <c r="C409" s="80" t="s">
        <v>223</v>
      </c>
      <c r="D409" s="4" t="s">
        <v>6</v>
      </c>
      <c r="E409" s="6"/>
      <c r="F409" s="35">
        <v>0.93400000000000005</v>
      </c>
      <c r="G409" s="35">
        <v>0.93400000000000005</v>
      </c>
      <c r="H409" s="30">
        <f t="shared" si="6"/>
        <v>0</v>
      </c>
    </row>
    <row r="410" spans="1:8" x14ac:dyDescent="0.3">
      <c r="A410" s="71"/>
      <c r="B410" s="71"/>
      <c r="C410" s="80" t="s">
        <v>224</v>
      </c>
      <c r="D410" s="4" t="s">
        <v>8</v>
      </c>
      <c r="E410" s="6"/>
      <c r="F410" s="35">
        <v>0.08</v>
      </c>
      <c r="G410" s="35">
        <v>0.08</v>
      </c>
      <c r="H410" s="30">
        <f t="shared" si="6"/>
        <v>0</v>
      </c>
    </row>
    <row r="411" spans="1:8" x14ac:dyDescent="0.3">
      <c r="A411" s="71"/>
      <c r="B411" s="71"/>
      <c r="C411" s="80" t="s">
        <v>225</v>
      </c>
      <c r="D411" s="4" t="s">
        <v>8</v>
      </c>
      <c r="E411" s="6"/>
      <c r="F411" s="35">
        <v>0.23899999999999999</v>
      </c>
      <c r="G411" s="35">
        <v>0.23899999999999999</v>
      </c>
      <c r="H411" s="30">
        <f t="shared" si="6"/>
        <v>0</v>
      </c>
    </row>
    <row r="412" spans="1:8" x14ac:dyDescent="0.3">
      <c r="A412" s="71"/>
      <c r="B412" s="71"/>
      <c r="C412" s="80" t="s">
        <v>226</v>
      </c>
      <c r="D412" s="4" t="s">
        <v>8</v>
      </c>
      <c r="E412" s="6"/>
      <c r="F412" s="35">
        <v>0.51500000000000001</v>
      </c>
      <c r="G412" s="35">
        <v>0.51500000000000001</v>
      </c>
      <c r="H412" s="30">
        <f t="shared" si="6"/>
        <v>0</v>
      </c>
    </row>
    <row r="413" spans="1:8" x14ac:dyDescent="0.3">
      <c r="A413" s="71"/>
      <c r="B413" s="71"/>
      <c r="C413" s="80" t="s">
        <v>227</v>
      </c>
      <c r="D413" s="4" t="s">
        <v>8</v>
      </c>
      <c r="E413" s="6"/>
      <c r="F413" s="35">
        <v>0.22600000000000001</v>
      </c>
      <c r="G413" s="35">
        <v>0.22600000000000001</v>
      </c>
      <c r="H413" s="30">
        <f t="shared" si="6"/>
        <v>0</v>
      </c>
    </row>
    <row r="414" spans="1:8" x14ac:dyDescent="0.3">
      <c r="A414" s="71"/>
      <c r="B414" s="71"/>
      <c r="C414" s="80" t="s">
        <v>228</v>
      </c>
      <c r="D414" s="4" t="s">
        <v>8</v>
      </c>
      <c r="E414" s="6"/>
      <c r="F414" s="35">
        <v>0.79900000000000004</v>
      </c>
      <c r="G414" s="35">
        <v>0.79900000000000004</v>
      </c>
      <c r="H414" s="30">
        <f t="shared" si="6"/>
        <v>0</v>
      </c>
    </row>
    <row r="415" spans="1:8" x14ac:dyDescent="0.3">
      <c r="A415" s="71"/>
      <c r="B415" s="71"/>
      <c r="C415" s="80" t="s">
        <v>381</v>
      </c>
      <c r="D415" s="4" t="s">
        <v>274</v>
      </c>
      <c r="E415" s="45">
        <v>16</v>
      </c>
      <c r="F415" s="35">
        <v>0.99</v>
      </c>
      <c r="G415" s="35">
        <v>0.99</v>
      </c>
      <c r="H415" s="30">
        <f t="shared" si="6"/>
        <v>0</v>
      </c>
    </row>
    <row r="416" spans="1:8" x14ac:dyDescent="0.3">
      <c r="A416" s="71"/>
      <c r="B416" s="71"/>
      <c r="C416" s="80" t="s">
        <v>229</v>
      </c>
      <c r="D416" s="4" t="s">
        <v>10</v>
      </c>
      <c r="E416" s="45">
        <v>30</v>
      </c>
      <c r="F416" s="35">
        <v>0.89</v>
      </c>
      <c r="G416" s="35">
        <v>0.89</v>
      </c>
      <c r="H416" s="30">
        <f t="shared" si="6"/>
        <v>0</v>
      </c>
    </row>
    <row r="417" spans="1:8" x14ac:dyDescent="0.3">
      <c r="A417" s="71" t="s">
        <v>23</v>
      </c>
      <c r="B417" s="71" t="s">
        <v>345</v>
      </c>
      <c r="C417" s="80" t="s">
        <v>230</v>
      </c>
      <c r="D417" s="4" t="s">
        <v>6</v>
      </c>
      <c r="E417" s="6"/>
      <c r="F417" s="35">
        <v>0.34699999999999998</v>
      </c>
      <c r="G417" s="35">
        <v>0.34699999999999998</v>
      </c>
      <c r="H417" s="30">
        <f t="shared" si="6"/>
        <v>0</v>
      </c>
    </row>
    <row r="418" spans="1:8" x14ac:dyDescent="0.3">
      <c r="A418" s="71"/>
      <c r="B418" s="71"/>
      <c r="C418" s="80" t="s">
        <v>231</v>
      </c>
      <c r="D418" s="4" t="s">
        <v>6</v>
      </c>
      <c r="E418" s="6"/>
      <c r="F418" s="35">
        <v>20.582000000000001</v>
      </c>
      <c r="G418" s="35">
        <v>20.582000000000001</v>
      </c>
      <c r="H418" s="30">
        <f t="shared" si="6"/>
        <v>0</v>
      </c>
    </row>
    <row r="419" spans="1:8" x14ac:dyDescent="0.3">
      <c r="A419" s="71"/>
      <c r="B419" s="71"/>
      <c r="C419" s="80" t="s">
        <v>232</v>
      </c>
      <c r="D419" s="4" t="s">
        <v>6</v>
      </c>
      <c r="E419" s="6"/>
      <c r="F419" s="35">
        <v>5.0999999999999997E-2</v>
      </c>
      <c r="G419" s="35">
        <v>5.0999999999999997E-2</v>
      </c>
      <c r="H419" s="30">
        <f t="shared" si="6"/>
        <v>0</v>
      </c>
    </row>
    <row r="420" spans="1:8" x14ac:dyDescent="0.3">
      <c r="A420" s="71"/>
      <c r="B420" s="71"/>
      <c r="C420" s="80" t="s">
        <v>233</v>
      </c>
      <c r="D420" s="4" t="s">
        <v>6</v>
      </c>
      <c r="E420" s="6"/>
      <c r="F420" s="35">
        <v>283.85700000000003</v>
      </c>
      <c r="G420" s="35">
        <v>283.85700000000003</v>
      </c>
      <c r="H420" s="30">
        <f t="shared" si="6"/>
        <v>0</v>
      </c>
    </row>
    <row r="421" spans="1:8" x14ac:dyDescent="0.3">
      <c r="A421" s="71"/>
      <c r="B421" s="71"/>
      <c r="C421" s="80" t="s">
        <v>234</v>
      </c>
      <c r="D421" s="4" t="s">
        <v>6</v>
      </c>
      <c r="E421" s="6"/>
      <c r="F421" s="35">
        <v>0.82899999999999996</v>
      </c>
      <c r="G421" s="35">
        <v>0.82899999999999996</v>
      </c>
      <c r="H421" s="30">
        <f t="shared" si="6"/>
        <v>0</v>
      </c>
    </row>
    <row r="422" spans="1:8" x14ac:dyDescent="0.3">
      <c r="A422" s="71"/>
      <c r="B422" s="71"/>
      <c r="C422" s="80" t="s">
        <v>235</v>
      </c>
      <c r="D422" s="4" t="s">
        <v>8</v>
      </c>
      <c r="E422" s="6"/>
      <c r="F422" s="35">
        <v>0.96299999999999997</v>
      </c>
      <c r="G422" s="35">
        <v>0.96299999999999997</v>
      </c>
      <c r="H422" s="30">
        <f t="shared" si="6"/>
        <v>0</v>
      </c>
    </row>
    <row r="423" spans="1:8" x14ac:dyDescent="0.3">
      <c r="A423" s="71"/>
      <c r="B423" s="71"/>
      <c r="C423" s="80" t="s">
        <v>236</v>
      </c>
      <c r="D423" s="4" t="s">
        <v>8</v>
      </c>
      <c r="E423" s="6"/>
      <c r="F423" s="35">
        <v>0.316</v>
      </c>
      <c r="G423" s="35">
        <v>0.316</v>
      </c>
      <c r="H423" s="30">
        <f t="shared" si="6"/>
        <v>0</v>
      </c>
    </row>
    <row r="424" spans="1:8" x14ac:dyDescent="0.3">
      <c r="A424" s="71"/>
      <c r="B424" s="71"/>
      <c r="C424" s="80" t="s">
        <v>237</v>
      </c>
      <c r="D424" s="4" t="s">
        <v>8</v>
      </c>
      <c r="E424" s="6"/>
      <c r="F424" s="35">
        <v>2.7E-2</v>
      </c>
      <c r="G424" s="35">
        <v>2.7E-2</v>
      </c>
      <c r="H424" s="30">
        <f t="shared" si="6"/>
        <v>0</v>
      </c>
    </row>
    <row r="425" spans="1:8" x14ac:dyDescent="0.3">
      <c r="A425" s="71"/>
      <c r="B425" s="71"/>
      <c r="C425" s="80" t="s">
        <v>238</v>
      </c>
      <c r="D425" s="4" t="s">
        <v>8</v>
      </c>
      <c r="E425" s="6"/>
      <c r="F425" s="35">
        <v>0.16300000000000001</v>
      </c>
      <c r="G425" s="35">
        <v>0.16300000000000001</v>
      </c>
      <c r="H425" s="30">
        <f t="shared" si="6"/>
        <v>0</v>
      </c>
    </row>
    <row r="426" spans="1:8" x14ac:dyDescent="0.3">
      <c r="A426" s="71"/>
      <c r="B426" s="71"/>
      <c r="C426" s="80" t="s">
        <v>239</v>
      </c>
      <c r="D426" s="4" t="s">
        <v>8</v>
      </c>
      <c r="E426" s="6"/>
      <c r="F426" s="35">
        <v>0.16900000000000001</v>
      </c>
      <c r="G426" s="35">
        <v>0.16900000000000001</v>
      </c>
      <c r="H426" s="30">
        <f t="shared" si="6"/>
        <v>0</v>
      </c>
    </row>
    <row r="427" spans="1:8" x14ac:dyDescent="0.3">
      <c r="A427" s="71"/>
      <c r="B427" s="71"/>
      <c r="C427" s="80" t="s">
        <v>382</v>
      </c>
      <c r="D427" s="4" t="s">
        <v>274</v>
      </c>
      <c r="E427" s="45">
        <v>16</v>
      </c>
      <c r="F427" s="35">
        <v>0.74</v>
      </c>
      <c r="G427" s="35">
        <v>0.74</v>
      </c>
      <c r="H427" s="30">
        <f t="shared" si="6"/>
        <v>0</v>
      </c>
    </row>
    <row r="428" spans="1:8" x14ac:dyDescent="0.3">
      <c r="A428" s="71"/>
      <c r="B428" s="71"/>
      <c r="C428" s="80" t="s">
        <v>240</v>
      </c>
      <c r="D428" s="4" t="s">
        <v>10</v>
      </c>
      <c r="E428" s="45">
        <v>30</v>
      </c>
      <c r="F428" s="35">
        <v>98.98</v>
      </c>
      <c r="G428" s="35">
        <v>98.98</v>
      </c>
      <c r="H428" s="30">
        <f t="shared" si="6"/>
        <v>0</v>
      </c>
    </row>
    <row r="429" spans="1:8" x14ac:dyDescent="0.3">
      <c r="A429" s="71" t="s">
        <v>23</v>
      </c>
      <c r="B429" s="71" t="s">
        <v>346</v>
      </c>
      <c r="C429" s="80" t="s">
        <v>241</v>
      </c>
      <c r="D429" s="4" t="s">
        <v>6</v>
      </c>
      <c r="E429" s="6"/>
      <c r="F429" s="35">
        <v>0</v>
      </c>
      <c r="G429" s="35">
        <v>0</v>
      </c>
      <c r="H429" s="30">
        <f t="shared" si="6"/>
        <v>0</v>
      </c>
    </row>
    <row r="430" spans="1:8" x14ac:dyDescent="0.3">
      <c r="A430" s="71"/>
      <c r="B430" s="71"/>
      <c r="C430" s="80" t="s">
        <v>242</v>
      </c>
      <c r="D430" s="4" t="s">
        <v>6</v>
      </c>
      <c r="E430" s="6"/>
      <c r="F430" s="35">
        <v>0.35199999999999998</v>
      </c>
      <c r="G430" s="35">
        <v>0.35199999999999998</v>
      </c>
      <c r="H430" s="30">
        <f t="shared" si="6"/>
        <v>0</v>
      </c>
    </row>
    <row r="431" spans="1:8" x14ac:dyDescent="0.3">
      <c r="A431" s="71"/>
      <c r="B431" s="71"/>
      <c r="C431" s="80" t="s">
        <v>243</v>
      </c>
      <c r="D431" s="4" t="s">
        <v>6</v>
      </c>
      <c r="E431" s="6"/>
      <c r="F431" s="35">
        <v>6.5000000000000002E-2</v>
      </c>
      <c r="G431" s="35">
        <v>6.5000000000000002E-2</v>
      </c>
      <c r="H431" s="30">
        <f t="shared" si="6"/>
        <v>0</v>
      </c>
    </row>
    <row r="432" spans="1:8" x14ac:dyDescent="0.3">
      <c r="A432" s="71"/>
      <c r="B432" s="71"/>
      <c r="C432" s="80" t="s">
        <v>244</v>
      </c>
      <c r="D432" s="4" t="s">
        <v>6</v>
      </c>
      <c r="E432" s="6"/>
      <c r="F432" s="35">
        <v>0.79400000000000004</v>
      </c>
      <c r="G432" s="35">
        <v>0.79400000000000004</v>
      </c>
      <c r="H432" s="30">
        <f t="shared" si="6"/>
        <v>0</v>
      </c>
    </row>
    <row r="433" spans="1:8" x14ac:dyDescent="0.3">
      <c r="A433" s="71"/>
      <c r="B433" s="71"/>
      <c r="C433" s="80" t="s">
        <v>245</v>
      </c>
      <c r="D433" s="4" t="s">
        <v>6</v>
      </c>
      <c r="E433" s="6"/>
      <c r="F433" s="35">
        <v>2.1000000000000001E-2</v>
      </c>
      <c r="G433" s="35">
        <v>2.1000000000000001E-2</v>
      </c>
      <c r="H433" s="30">
        <f t="shared" si="6"/>
        <v>0</v>
      </c>
    </row>
    <row r="434" spans="1:8" x14ac:dyDescent="0.3">
      <c r="A434" s="71"/>
      <c r="B434" s="71"/>
      <c r="C434" s="80" t="s">
        <v>246</v>
      </c>
      <c r="D434" s="4" t="s">
        <v>8</v>
      </c>
      <c r="E434" s="6"/>
      <c r="F434" s="35">
        <v>0.20699999999999999</v>
      </c>
      <c r="G434" s="35">
        <v>0.20699999999999999</v>
      </c>
      <c r="H434" s="30">
        <f t="shared" si="6"/>
        <v>0</v>
      </c>
    </row>
    <row r="435" spans="1:8" x14ac:dyDescent="0.3">
      <c r="A435" s="71"/>
      <c r="B435" s="71"/>
      <c r="C435" s="80" t="s">
        <v>247</v>
      </c>
      <c r="D435" s="4" t="s">
        <v>8</v>
      </c>
      <c r="E435" s="6"/>
      <c r="F435" s="35">
        <v>0.61899999999999999</v>
      </c>
      <c r="G435" s="35">
        <v>0.61899999999999999</v>
      </c>
      <c r="H435" s="30">
        <f t="shared" si="6"/>
        <v>0</v>
      </c>
    </row>
    <row r="436" spans="1:8" x14ac:dyDescent="0.3">
      <c r="A436" s="71"/>
      <c r="B436" s="71"/>
      <c r="C436" s="80" t="s">
        <v>248</v>
      </c>
      <c r="D436" s="4" t="s">
        <v>8</v>
      </c>
      <c r="E436" s="6"/>
      <c r="F436" s="35">
        <v>6.5000000000000002E-2</v>
      </c>
      <c r="G436" s="35">
        <v>6.5000000000000002E-2</v>
      </c>
      <c r="H436" s="30">
        <f t="shared" si="6"/>
        <v>0</v>
      </c>
    </row>
    <row r="437" spans="1:8" x14ac:dyDescent="0.3">
      <c r="A437" s="71"/>
      <c r="B437" s="71"/>
      <c r="C437" s="80" t="s">
        <v>249</v>
      </c>
      <c r="D437" s="4" t="s">
        <v>8</v>
      </c>
      <c r="E437" s="6"/>
      <c r="F437" s="35">
        <v>0.14399999999999999</v>
      </c>
      <c r="G437" s="35">
        <v>0.14399999999999999</v>
      </c>
      <c r="H437" s="30">
        <f t="shared" si="6"/>
        <v>0</v>
      </c>
    </row>
    <row r="438" spans="1:8" x14ac:dyDescent="0.3">
      <c r="A438" s="71"/>
      <c r="B438" s="71"/>
      <c r="C438" s="80" t="s">
        <v>250</v>
      </c>
      <c r="D438" s="4" t="s">
        <v>8</v>
      </c>
      <c r="E438" s="6"/>
      <c r="F438" s="35">
        <v>2.1999999999999999E-2</v>
      </c>
      <c r="G438" s="35">
        <v>2.1999999999999999E-2</v>
      </c>
      <c r="H438" s="30">
        <f t="shared" si="6"/>
        <v>0</v>
      </c>
    </row>
    <row r="439" spans="1:8" x14ac:dyDescent="0.3">
      <c r="A439" s="71"/>
      <c r="B439" s="71"/>
      <c r="C439" s="80" t="s">
        <v>383</v>
      </c>
      <c r="D439" s="4" t="s">
        <v>274</v>
      </c>
      <c r="E439" s="45">
        <v>16</v>
      </c>
      <c r="F439" s="35">
        <v>1.25</v>
      </c>
      <c r="G439" s="35">
        <v>1.25</v>
      </c>
      <c r="H439" s="30">
        <f t="shared" si="6"/>
        <v>0</v>
      </c>
    </row>
    <row r="440" spans="1:8" x14ac:dyDescent="0.3">
      <c r="A440" s="71"/>
      <c r="B440" s="71"/>
      <c r="C440" s="80" t="s">
        <v>251</v>
      </c>
      <c r="D440" s="4" t="s">
        <v>10</v>
      </c>
      <c r="E440" s="45">
        <v>30</v>
      </c>
      <c r="F440" s="35">
        <v>0.46</v>
      </c>
      <c r="G440" s="35">
        <v>0.46</v>
      </c>
      <c r="H440" s="30">
        <f t="shared" si="6"/>
        <v>0</v>
      </c>
    </row>
    <row r="441" spans="1:8" ht="14.4" customHeight="1" x14ac:dyDescent="0.3">
      <c r="A441" s="73" t="s">
        <v>260</v>
      </c>
      <c r="B441" s="74" t="s">
        <v>347</v>
      </c>
      <c r="C441" s="31" t="s">
        <v>261</v>
      </c>
      <c r="D441" s="10" t="s">
        <v>6</v>
      </c>
      <c r="E441" s="31"/>
      <c r="F441" s="34">
        <v>1.157</v>
      </c>
      <c r="G441" s="81">
        <v>1.1679999999999999</v>
      </c>
      <c r="H441" s="30">
        <f t="shared" si="6"/>
        <v>1.0999999999999899E-2</v>
      </c>
    </row>
    <row r="442" spans="1:8" x14ac:dyDescent="0.3">
      <c r="A442" s="73"/>
      <c r="B442" s="74"/>
      <c r="C442" s="31" t="s">
        <v>262</v>
      </c>
      <c r="D442" s="10" t="s">
        <v>6</v>
      </c>
      <c r="E442" s="31"/>
      <c r="F442" s="34">
        <v>0.157</v>
      </c>
      <c r="G442" s="81">
        <v>0.157</v>
      </c>
      <c r="H442" s="30">
        <f t="shared" si="6"/>
        <v>0</v>
      </c>
    </row>
    <row r="443" spans="1:8" x14ac:dyDescent="0.3">
      <c r="A443" s="73"/>
      <c r="B443" s="74"/>
      <c r="C443" s="31" t="s">
        <v>263</v>
      </c>
      <c r="D443" s="10" t="s">
        <v>6</v>
      </c>
      <c r="E443" s="31"/>
      <c r="F443" s="34">
        <v>0.40600000000000003</v>
      </c>
      <c r="G443" s="81">
        <v>0.40600000000000003</v>
      </c>
      <c r="H443" s="30">
        <f t="shared" si="6"/>
        <v>0</v>
      </c>
    </row>
    <row r="444" spans="1:8" x14ac:dyDescent="0.3">
      <c r="A444" s="73"/>
      <c r="B444" s="74"/>
      <c r="C444" s="31" t="s">
        <v>264</v>
      </c>
      <c r="D444" s="10" t="s">
        <v>6</v>
      </c>
      <c r="E444" s="31"/>
      <c r="F444" s="34">
        <v>8.0000000000000002E-3</v>
      </c>
      <c r="G444" s="34">
        <v>8.0000000000000002E-3</v>
      </c>
      <c r="H444" s="30">
        <f t="shared" si="6"/>
        <v>0</v>
      </c>
    </row>
    <row r="445" spans="1:8" x14ac:dyDescent="0.3">
      <c r="A445" s="73"/>
      <c r="B445" s="74"/>
      <c r="C445" s="31" t="s">
        <v>265</v>
      </c>
      <c r="D445" s="10" t="s">
        <v>6</v>
      </c>
      <c r="E445" s="31"/>
      <c r="F445" s="34">
        <v>0.39400000000000002</v>
      </c>
      <c r="G445" s="81">
        <v>0.40600000000000003</v>
      </c>
      <c r="H445" s="30">
        <f t="shared" si="6"/>
        <v>1.2000000000000011E-2</v>
      </c>
    </row>
    <row r="446" spans="1:8" x14ac:dyDescent="0.3">
      <c r="A446" s="73"/>
      <c r="B446" s="74"/>
      <c r="C446" s="31" t="s">
        <v>266</v>
      </c>
      <c r="D446" s="10" t="s">
        <v>8</v>
      </c>
      <c r="E446" s="31"/>
      <c r="F446" s="34">
        <v>0.34799999999999998</v>
      </c>
      <c r="G446" s="34">
        <v>0.34799999999999998</v>
      </c>
      <c r="H446" s="30">
        <f t="shared" si="6"/>
        <v>0</v>
      </c>
    </row>
    <row r="447" spans="1:8" x14ac:dyDescent="0.3">
      <c r="A447" s="73"/>
      <c r="B447" s="74"/>
      <c r="C447" s="31" t="s">
        <v>267</v>
      </c>
      <c r="D447" s="10" t="s">
        <v>8</v>
      </c>
      <c r="E447" s="31"/>
      <c r="F447" s="34">
        <v>9.5000000000000001E-2</v>
      </c>
      <c r="G447" s="81">
        <v>9.5000000000000001E-2</v>
      </c>
      <c r="H447" s="30">
        <f t="shared" si="6"/>
        <v>0</v>
      </c>
    </row>
    <row r="448" spans="1:8" x14ac:dyDescent="0.3">
      <c r="A448" s="73"/>
      <c r="B448" s="74"/>
      <c r="C448" s="31" t="s">
        <v>268</v>
      </c>
      <c r="D448" s="10" t="s">
        <v>8</v>
      </c>
      <c r="E448" s="31"/>
      <c r="F448" s="34">
        <v>0.28699999999999998</v>
      </c>
      <c r="G448" s="81">
        <v>0.28699999999999998</v>
      </c>
      <c r="H448" s="30">
        <f t="shared" si="6"/>
        <v>0</v>
      </c>
    </row>
    <row r="449" spans="1:8" x14ac:dyDescent="0.3">
      <c r="A449" s="73"/>
      <c r="B449" s="74"/>
      <c r="C449" s="31" t="s">
        <v>269</v>
      </c>
      <c r="D449" s="10" t="s">
        <v>8</v>
      </c>
      <c r="E449" s="31"/>
      <c r="F449" s="34">
        <v>8.9999999999999993E-3</v>
      </c>
      <c r="G449" s="81">
        <v>8.9999999999999993E-3</v>
      </c>
      <c r="H449" s="30">
        <f t="shared" si="6"/>
        <v>0</v>
      </c>
    </row>
    <row r="450" spans="1:8" x14ac:dyDescent="0.3">
      <c r="A450" s="73"/>
      <c r="B450" s="74"/>
      <c r="C450" s="31" t="s">
        <v>270</v>
      </c>
      <c r="D450" s="10" t="s">
        <v>8</v>
      </c>
      <c r="E450" s="31"/>
      <c r="F450" s="34">
        <v>4.8000000000000001E-2</v>
      </c>
      <c r="G450" s="81">
        <v>8.5999999999999993E-2</v>
      </c>
      <c r="H450" s="30">
        <f t="shared" ref="H450:H452" si="7">G450-F450</f>
        <v>3.7999999999999992E-2</v>
      </c>
    </row>
    <row r="451" spans="1:8" x14ac:dyDescent="0.3">
      <c r="A451" s="73"/>
      <c r="B451" s="74"/>
      <c r="C451" s="31" t="s">
        <v>384</v>
      </c>
      <c r="D451" s="10" t="s">
        <v>10</v>
      </c>
      <c r="E451" s="61">
        <v>1</v>
      </c>
      <c r="F451" s="34">
        <v>67.5</v>
      </c>
      <c r="G451" s="81">
        <v>67.5</v>
      </c>
      <c r="H451" s="30">
        <f t="shared" si="7"/>
        <v>0</v>
      </c>
    </row>
    <row r="452" spans="1:8" x14ac:dyDescent="0.3">
      <c r="A452" s="73"/>
      <c r="B452" s="74"/>
      <c r="C452" s="32">
        <v>48030489</v>
      </c>
      <c r="D452" s="10" t="s">
        <v>274</v>
      </c>
      <c r="E452" s="59">
        <v>16</v>
      </c>
      <c r="F452" s="34">
        <v>0.61</v>
      </c>
      <c r="G452" s="81">
        <v>0.64</v>
      </c>
      <c r="H452" s="30">
        <f t="shared" si="7"/>
        <v>3.0000000000000027E-2</v>
      </c>
    </row>
  </sheetData>
  <autoFilter ref="A1:E452" xr:uid="{9B47E0F6-02A6-4121-96E6-F8A5D8164E3D}"/>
  <mergeCells count="168">
    <mergeCell ref="A308:A319"/>
    <mergeCell ref="B308:B319"/>
    <mergeCell ref="B260:B271"/>
    <mergeCell ref="A260:A271"/>
    <mergeCell ref="A131:A133"/>
    <mergeCell ref="B131:B133"/>
    <mergeCell ref="A200:A211"/>
    <mergeCell ref="B200:B211"/>
    <mergeCell ref="A212:A223"/>
    <mergeCell ref="B212:B223"/>
    <mergeCell ref="A173:A175"/>
    <mergeCell ref="B173:B175"/>
    <mergeCell ref="A248:A259"/>
    <mergeCell ref="B248:B259"/>
    <mergeCell ref="B176:B187"/>
    <mergeCell ref="A176:A187"/>
    <mergeCell ref="A224:A235"/>
    <mergeCell ref="B224:B235"/>
    <mergeCell ref="A140:A142"/>
    <mergeCell ref="B140:B142"/>
    <mergeCell ref="A143:A145"/>
    <mergeCell ref="B143:B145"/>
    <mergeCell ref="A134:A136"/>
    <mergeCell ref="B134:B136"/>
    <mergeCell ref="B125:B127"/>
    <mergeCell ref="A125:A127"/>
    <mergeCell ref="A137:A139"/>
    <mergeCell ref="B137:B139"/>
    <mergeCell ref="B62:B64"/>
    <mergeCell ref="A62:A64"/>
    <mergeCell ref="B128:B130"/>
    <mergeCell ref="A128:A130"/>
    <mergeCell ref="A50:A52"/>
    <mergeCell ref="B50:B52"/>
    <mergeCell ref="A116:A118"/>
    <mergeCell ref="B116:B118"/>
    <mergeCell ref="A92:A94"/>
    <mergeCell ref="B92:B94"/>
    <mergeCell ref="A95:A97"/>
    <mergeCell ref="B95:B97"/>
    <mergeCell ref="A98:A100"/>
    <mergeCell ref="B98:B100"/>
    <mergeCell ref="A101:A103"/>
    <mergeCell ref="B101:B103"/>
    <mergeCell ref="A104:A106"/>
    <mergeCell ref="B104:B106"/>
    <mergeCell ref="B2:B4"/>
    <mergeCell ref="A2:A4"/>
    <mergeCell ref="B29:B31"/>
    <mergeCell ref="A29:A31"/>
    <mergeCell ref="A22:A24"/>
    <mergeCell ref="B22:B24"/>
    <mergeCell ref="A25:A27"/>
    <mergeCell ref="B25:B27"/>
    <mergeCell ref="A15:A17"/>
    <mergeCell ref="B15:B17"/>
    <mergeCell ref="A11:A13"/>
    <mergeCell ref="B11:B13"/>
    <mergeCell ref="A5:A7"/>
    <mergeCell ref="B5:B7"/>
    <mergeCell ref="A8:A10"/>
    <mergeCell ref="B8:B10"/>
    <mergeCell ref="A18:A21"/>
    <mergeCell ref="B18:B21"/>
    <mergeCell ref="A47:A49"/>
    <mergeCell ref="B47:B49"/>
    <mergeCell ref="A110:A112"/>
    <mergeCell ref="B110:B112"/>
    <mergeCell ref="A32:A34"/>
    <mergeCell ref="B32:B34"/>
    <mergeCell ref="A53:A55"/>
    <mergeCell ref="B53:B55"/>
    <mergeCell ref="A113:A115"/>
    <mergeCell ref="B113:B115"/>
    <mergeCell ref="A59:A61"/>
    <mergeCell ref="B59:B61"/>
    <mergeCell ref="A65:A67"/>
    <mergeCell ref="B65:B67"/>
    <mergeCell ref="A68:A70"/>
    <mergeCell ref="B68:B70"/>
    <mergeCell ref="A35:A37"/>
    <mergeCell ref="B35:B37"/>
    <mergeCell ref="A38:A40"/>
    <mergeCell ref="B38:B40"/>
    <mergeCell ref="A41:A43"/>
    <mergeCell ref="B41:B43"/>
    <mergeCell ref="A44:A46"/>
    <mergeCell ref="B44:B46"/>
    <mergeCell ref="A56:A58"/>
    <mergeCell ref="B56:B58"/>
    <mergeCell ref="A323:A325"/>
    <mergeCell ref="B323:B325"/>
    <mergeCell ref="A272:A283"/>
    <mergeCell ref="B272:B283"/>
    <mergeCell ref="A77:A79"/>
    <mergeCell ref="B77:B79"/>
    <mergeCell ref="A71:A73"/>
    <mergeCell ref="B71:B73"/>
    <mergeCell ref="A74:A76"/>
    <mergeCell ref="B74:B76"/>
    <mergeCell ref="A119:A121"/>
    <mergeCell ref="B119:B121"/>
    <mergeCell ref="A122:A124"/>
    <mergeCell ref="B122:B124"/>
    <mergeCell ref="A80:A82"/>
    <mergeCell ref="B80:B82"/>
    <mergeCell ref="A83:A85"/>
    <mergeCell ref="B83:B85"/>
    <mergeCell ref="A86:A88"/>
    <mergeCell ref="B86:B88"/>
    <mergeCell ref="A89:A91"/>
    <mergeCell ref="B89:B91"/>
    <mergeCell ref="A107:A109"/>
    <mergeCell ref="B107:B109"/>
    <mergeCell ref="A441:A452"/>
    <mergeCell ref="B441:B452"/>
    <mergeCell ref="A393:A404"/>
    <mergeCell ref="B393:B404"/>
    <mergeCell ref="A326:A328"/>
    <mergeCell ref="B326:B328"/>
    <mergeCell ref="A329:A331"/>
    <mergeCell ref="B329:B331"/>
    <mergeCell ref="A164:A166"/>
    <mergeCell ref="B164:B166"/>
    <mergeCell ref="A167:A169"/>
    <mergeCell ref="B167:B169"/>
    <mergeCell ref="A332:A341"/>
    <mergeCell ref="B332:B341"/>
    <mergeCell ref="B188:B199"/>
    <mergeCell ref="A188:A199"/>
    <mergeCell ref="A284:A295"/>
    <mergeCell ref="B284:B295"/>
    <mergeCell ref="A296:A307"/>
    <mergeCell ref="B296:B307"/>
    <mergeCell ref="A236:A247"/>
    <mergeCell ref="B236:B247"/>
    <mergeCell ref="A320:A322"/>
    <mergeCell ref="B320:B322"/>
    <mergeCell ref="A345:A356"/>
    <mergeCell ref="B345:B356"/>
    <mergeCell ref="A429:A440"/>
    <mergeCell ref="B429:B440"/>
    <mergeCell ref="A405:A416"/>
    <mergeCell ref="B405:B416"/>
    <mergeCell ref="A417:A428"/>
    <mergeCell ref="B417:B428"/>
    <mergeCell ref="A357:A368"/>
    <mergeCell ref="B357:B368"/>
    <mergeCell ref="A369:A380"/>
    <mergeCell ref="B369:B380"/>
    <mergeCell ref="A381:A392"/>
    <mergeCell ref="B381:B392"/>
    <mergeCell ref="A342:A344"/>
    <mergeCell ref="B342:B344"/>
    <mergeCell ref="A146:A148"/>
    <mergeCell ref="B146:B148"/>
    <mergeCell ref="A149:A151"/>
    <mergeCell ref="B149:B151"/>
    <mergeCell ref="A152:A154"/>
    <mergeCell ref="B152:B154"/>
    <mergeCell ref="A170:A172"/>
    <mergeCell ref="B170:B172"/>
    <mergeCell ref="A155:A157"/>
    <mergeCell ref="B155:B157"/>
    <mergeCell ref="A158:A160"/>
    <mergeCell ref="B158:B160"/>
    <mergeCell ref="A161:A163"/>
    <mergeCell ref="B161:B163"/>
  </mergeCells>
  <conditionalFormatting sqref="H1:H1048576">
    <cfRule type="cellIs" dxfId="9" priority="2" operator="lessThan">
      <formula>0</formula>
    </cfRule>
    <cfRule type="cellIs" dxfId="8" priority="3" operator="greaterThan">
      <formula>0</formula>
    </cfRule>
  </conditionalFormatting>
  <conditionalFormatting sqref="H2:H452">
    <cfRule type="cellIs" dxfId="7" priority="1" operator="equal">
      <formula>0</formula>
    </cfRule>
  </conditionalFormatting>
  <pageMargins left="0.7" right="0.7" top="0.75" bottom="0.75" header="0.3" footer="0.3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2581-1B79-46CE-84C4-5B88D6879220}">
  <sheetPr>
    <pageSetUpPr fitToPage="1"/>
  </sheetPr>
  <dimension ref="A1:E123"/>
  <sheetViews>
    <sheetView topLeftCell="A58" zoomScaleNormal="100" zoomScaleSheetLayoutView="115" workbookViewId="0">
      <selection activeCell="H119" sqref="H119"/>
    </sheetView>
  </sheetViews>
  <sheetFormatPr defaultRowHeight="14.4" x14ac:dyDescent="0.3"/>
  <cols>
    <col min="1" max="1" width="44.6640625" style="21" customWidth="1"/>
    <col min="2" max="3" width="21.6640625" style="43" customWidth="1"/>
    <col min="4" max="4" width="8.33203125" style="48" customWidth="1"/>
    <col min="5" max="5" width="18.6640625" style="43" customWidth="1"/>
  </cols>
  <sheetData>
    <row r="1" spans="1:5" ht="28.8" x14ac:dyDescent="0.3">
      <c r="A1" s="18" t="s">
        <v>2</v>
      </c>
      <c r="B1" s="53" t="s">
        <v>252</v>
      </c>
      <c r="C1" s="57" t="s">
        <v>253</v>
      </c>
      <c r="D1" s="44" t="s">
        <v>254</v>
      </c>
      <c r="E1" s="53" t="s">
        <v>255</v>
      </c>
    </row>
    <row r="2" spans="1:5" x14ac:dyDescent="0.3">
      <c r="A2" s="4" t="str">
        <f>'Приборы учета'!$C$4</f>
        <v>47824789-23</v>
      </c>
      <c r="B2" s="8">
        <f>'Приборы учета'!F4</f>
        <v>163.80000000000001</v>
      </c>
      <c r="C2" s="41">
        <f>'Приборы учета'!G4</f>
        <v>325.91000000000003</v>
      </c>
      <c r="D2" s="45">
        <f>'Приборы учета'!$E$4</f>
        <v>1</v>
      </c>
      <c r="E2" s="2">
        <f>D2*(C2-B2)</f>
        <v>162.11000000000001</v>
      </c>
    </row>
    <row r="3" spans="1:5" x14ac:dyDescent="0.3">
      <c r="A3" s="4" t="str">
        <f>'Приборы учета'!$C$7</f>
        <v>48028167-23</v>
      </c>
      <c r="B3" s="8">
        <f>'Приборы учета'!F7</f>
        <v>4.47</v>
      </c>
      <c r="C3" s="41">
        <f>'Приборы учета'!G7</f>
        <v>4.47</v>
      </c>
      <c r="D3" s="45">
        <f>'Приборы учета'!$E$7</f>
        <v>1</v>
      </c>
      <c r="E3" s="2">
        <f t="shared" ref="E3:E66" si="0">D3*(C3-B3)</f>
        <v>0</v>
      </c>
    </row>
    <row r="4" spans="1:5" x14ac:dyDescent="0.3">
      <c r="A4" s="4" t="str">
        <f>'Приборы учета'!C9</f>
        <v>47947358-23</v>
      </c>
      <c r="B4" s="8">
        <f>'Приборы учета'!F9</f>
        <v>4698.17</v>
      </c>
      <c r="C4" s="41">
        <f>'Приборы учета'!G9</f>
        <v>4752.17</v>
      </c>
      <c r="D4" s="45">
        <f>'Приборы учета'!E9</f>
        <v>120</v>
      </c>
      <c r="E4" s="2">
        <f t="shared" si="0"/>
        <v>6480</v>
      </c>
    </row>
    <row r="5" spans="1:5" x14ac:dyDescent="0.3">
      <c r="A5" s="4" t="str">
        <f>'Приборы учета'!C10</f>
        <v>47881859-23</v>
      </c>
      <c r="B5" s="8">
        <f>'Приборы учета'!F10</f>
        <v>2.81</v>
      </c>
      <c r="C5" s="41">
        <f>'Приборы учета'!G10</f>
        <v>2.81</v>
      </c>
      <c r="D5" s="45">
        <f>'Приборы учета'!E10</f>
        <v>1</v>
      </c>
      <c r="E5" s="2">
        <f t="shared" si="0"/>
        <v>0</v>
      </c>
    </row>
    <row r="6" spans="1:5" x14ac:dyDescent="0.3">
      <c r="A6" s="4" t="str">
        <f>'Приборы учета'!C13</f>
        <v>51662071-25</v>
      </c>
      <c r="B6" s="8">
        <f>'Приборы учета'!F13</f>
        <v>181.86</v>
      </c>
      <c r="C6" s="41">
        <f>'Приборы учета'!G13</f>
        <v>316.89999999999998</v>
      </c>
      <c r="D6" s="45">
        <f>'Приборы учета'!E13</f>
        <v>1</v>
      </c>
      <c r="E6" s="2">
        <f t="shared" si="0"/>
        <v>135.03999999999996</v>
      </c>
    </row>
    <row r="7" spans="1:5" x14ac:dyDescent="0.3">
      <c r="A7" s="4">
        <f>'Приборы учета'!C14</f>
        <v>51845989</v>
      </c>
      <c r="B7" s="8">
        <f>'Приборы учета'!F14</f>
        <v>13.74</v>
      </c>
      <c r="C7" s="41">
        <f>'Приборы учета'!G14</f>
        <v>13.74</v>
      </c>
      <c r="D7" s="45">
        <f>'Приборы учета'!E14</f>
        <v>1</v>
      </c>
      <c r="E7" s="2">
        <f t="shared" si="0"/>
        <v>0</v>
      </c>
    </row>
    <row r="8" spans="1:5" x14ac:dyDescent="0.3">
      <c r="A8" s="4" t="str">
        <f>'Приборы учета'!$C$17</f>
        <v>51845988-25</v>
      </c>
      <c r="B8" s="8">
        <f>'Приборы учета'!F17</f>
        <v>300.07</v>
      </c>
      <c r="C8" s="41">
        <f>'Приборы учета'!G17</f>
        <v>359.63</v>
      </c>
      <c r="D8" s="45">
        <f>'Приборы учета'!$E$17</f>
        <v>1</v>
      </c>
      <c r="E8" s="2">
        <f t="shared" si="0"/>
        <v>59.56</v>
      </c>
    </row>
    <row r="9" spans="1:5" x14ac:dyDescent="0.3">
      <c r="A9" s="4">
        <f>'Приборы учета'!C20</f>
        <v>48028190</v>
      </c>
      <c r="B9" s="8">
        <f>'Приборы учета'!F20</f>
        <v>0</v>
      </c>
      <c r="C9" s="41">
        <f>'Приборы учета'!G20</f>
        <v>33.46</v>
      </c>
      <c r="D9" s="45">
        <f>'Приборы учета'!E20</f>
        <v>1</v>
      </c>
      <c r="E9" s="2">
        <f t="shared" si="0"/>
        <v>33.46</v>
      </c>
    </row>
    <row r="10" spans="1:5" x14ac:dyDescent="0.3">
      <c r="A10" s="4">
        <f>'Приборы учета'!C21</f>
        <v>47946993</v>
      </c>
      <c r="B10" s="8">
        <f>'Приборы учета'!F21</f>
        <v>0</v>
      </c>
      <c r="C10" s="41">
        <f>'Приборы учета'!G21</f>
        <v>0.91</v>
      </c>
      <c r="D10" s="45">
        <f>'Приборы учета'!E21</f>
        <v>40</v>
      </c>
      <c r="E10" s="2">
        <f t="shared" si="0"/>
        <v>36.4</v>
      </c>
    </row>
    <row r="11" spans="1:5" x14ac:dyDescent="0.3">
      <c r="A11" s="4" t="str">
        <f>'Приборы учета'!$C$24</f>
        <v>49555472-24</v>
      </c>
      <c r="B11" s="8">
        <f>'Приборы учета'!F24</f>
        <v>9.0299999999999994</v>
      </c>
      <c r="C11" s="41">
        <f>'Приборы учета'!G24</f>
        <v>10.91</v>
      </c>
      <c r="D11" s="45">
        <f>'Приборы учета'!$E$24</f>
        <v>50</v>
      </c>
      <c r="E11" s="2">
        <f t="shared" si="0"/>
        <v>94.000000000000043</v>
      </c>
    </row>
    <row r="12" spans="1:5" x14ac:dyDescent="0.3">
      <c r="A12" s="4" t="str">
        <f>'Приборы учета'!C27</f>
        <v>48028177-23</v>
      </c>
      <c r="B12" s="8">
        <f>'Приборы учета'!F27</f>
        <v>107.82</v>
      </c>
      <c r="C12" s="41">
        <f>'Приборы учета'!G27</f>
        <v>107.82</v>
      </c>
      <c r="D12" s="45">
        <f>'Приборы учета'!E27</f>
        <v>1</v>
      </c>
      <c r="E12" s="2">
        <f t="shared" si="0"/>
        <v>0</v>
      </c>
    </row>
    <row r="13" spans="1:5" x14ac:dyDescent="0.3">
      <c r="A13" s="4" t="str">
        <f>'Приборы учета'!C28</f>
        <v>48028229-23</v>
      </c>
      <c r="B13" s="8">
        <f>'Приборы учета'!F28</f>
        <v>569.20000000000005</v>
      </c>
      <c r="C13" s="41">
        <f>'Приборы учета'!G28</f>
        <v>569.20000000000005</v>
      </c>
      <c r="D13" s="45">
        <f>'Приборы учета'!E28</f>
        <v>1</v>
      </c>
      <c r="E13" s="2">
        <f t="shared" si="0"/>
        <v>0</v>
      </c>
    </row>
    <row r="14" spans="1:5" x14ac:dyDescent="0.3">
      <c r="A14" s="4" t="str">
        <f>'Приборы учета'!$C$31</f>
        <v>47883613-23</v>
      </c>
      <c r="B14" s="8">
        <f>'Приборы учета'!F31</f>
        <v>9.16</v>
      </c>
      <c r="C14" s="41">
        <f>'Приборы учета'!G31</f>
        <v>19.07</v>
      </c>
      <c r="D14" s="45">
        <f>'Приборы учета'!$E$31</f>
        <v>1</v>
      </c>
      <c r="E14" s="2">
        <f t="shared" si="0"/>
        <v>9.91</v>
      </c>
    </row>
    <row r="15" spans="1:5" x14ac:dyDescent="0.3">
      <c r="A15" s="4" t="str">
        <f>'Приборы учета'!$C$34</f>
        <v>45336943_21</v>
      </c>
      <c r="B15" s="8">
        <f>'Приборы учета'!F34</f>
        <v>0.33</v>
      </c>
      <c r="C15" s="41">
        <f>'Приборы учета'!G34</f>
        <v>0.33</v>
      </c>
      <c r="D15" s="45">
        <f>'Приборы учета'!$E$34</f>
        <v>1</v>
      </c>
      <c r="E15" s="2">
        <f t="shared" si="0"/>
        <v>0</v>
      </c>
    </row>
    <row r="16" spans="1:5" x14ac:dyDescent="0.3">
      <c r="A16" s="4" t="str">
        <f>'Приборы учета'!$C$37</f>
        <v>48028983_23</v>
      </c>
      <c r="B16" s="8">
        <f>'Приборы учета'!F37</f>
        <v>24.78</v>
      </c>
      <c r="C16" s="41">
        <f>'Приборы учета'!G37</f>
        <v>92.67</v>
      </c>
      <c r="D16" s="45">
        <f>'Приборы учета'!$E$37</f>
        <v>1</v>
      </c>
      <c r="E16" s="2">
        <f t="shared" si="0"/>
        <v>67.89</v>
      </c>
    </row>
    <row r="17" spans="1:5" x14ac:dyDescent="0.3">
      <c r="A17" s="4" t="str">
        <f>'Приборы учета'!$C$40</f>
        <v>47883996_23</v>
      </c>
      <c r="B17" s="8">
        <f>'Приборы учета'!F40</f>
        <v>2818.89</v>
      </c>
      <c r="C17" s="41">
        <f>'Приборы учета'!G40</f>
        <v>2818.89</v>
      </c>
      <c r="D17" s="45">
        <f>'Приборы учета'!$E$40</f>
        <v>1</v>
      </c>
      <c r="E17" s="2">
        <f t="shared" si="0"/>
        <v>0</v>
      </c>
    </row>
    <row r="18" spans="1:5" x14ac:dyDescent="0.3">
      <c r="A18" s="4" t="str">
        <f>'Приборы учета'!$C$43</f>
        <v>48028502_23</v>
      </c>
      <c r="B18" s="8">
        <f>'Приборы учета'!F43</f>
        <v>0.78</v>
      </c>
      <c r="C18" s="41">
        <f>'Приборы учета'!G43</f>
        <v>0.78</v>
      </c>
      <c r="D18" s="45">
        <f>'Приборы учета'!$E$43</f>
        <v>1</v>
      </c>
      <c r="E18" s="2">
        <f t="shared" si="0"/>
        <v>0</v>
      </c>
    </row>
    <row r="19" spans="1:5" x14ac:dyDescent="0.3">
      <c r="A19" s="4">
        <f>'Приборы учета'!$C$46</f>
        <v>40821843</v>
      </c>
      <c r="B19" s="8">
        <f>'Приборы учета'!F46</f>
        <v>0.67</v>
      </c>
      <c r="C19" s="41">
        <f>'Приборы учета'!G46</f>
        <v>0.67</v>
      </c>
      <c r="D19" s="45">
        <f>'Приборы учета'!$E$46</f>
        <v>16</v>
      </c>
      <c r="E19" s="2">
        <f t="shared" si="0"/>
        <v>0</v>
      </c>
    </row>
    <row r="20" spans="1:5" x14ac:dyDescent="0.3">
      <c r="A20" s="4">
        <f>'Приборы учета'!$C$49</f>
        <v>48021837</v>
      </c>
      <c r="B20" s="8">
        <f>'Приборы учета'!F49</f>
        <v>1.73</v>
      </c>
      <c r="C20" s="41">
        <f>'Приборы учета'!G49</f>
        <v>1.73</v>
      </c>
      <c r="D20" s="45">
        <f>'Приборы учета'!$E$49</f>
        <v>1</v>
      </c>
      <c r="E20" s="2">
        <f t="shared" si="0"/>
        <v>0</v>
      </c>
    </row>
    <row r="21" spans="1:5" x14ac:dyDescent="0.3">
      <c r="A21" s="4">
        <f>'Приборы учета'!$C$52</f>
        <v>48021878</v>
      </c>
      <c r="B21" s="8">
        <f>'Приборы учета'!F52</f>
        <v>1.21</v>
      </c>
      <c r="C21" s="41">
        <f>'Приборы учета'!G52</f>
        <v>1.21</v>
      </c>
      <c r="D21" s="45">
        <f>'Приборы учета'!$E$52</f>
        <v>16</v>
      </c>
      <c r="E21" s="2">
        <f t="shared" si="0"/>
        <v>0</v>
      </c>
    </row>
    <row r="22" spans="1:5" x14ac:dyDescent="0.3">
      <c r="A22" s="4">
        <f>'Приборы учета'!$C$55</f>
        <v>48028483</v>
      </c>
      <c r="B22" s="8">
        <f>'Приборы учета'!F55</f>
        <v>15.02</v>
      </c>
      <c r="C22" s="41">
        <f>'Приборы учета'!G55</f>
        <v>211.09</v>
      </c>
      <c r="D22" s="45">
        <f>'Приборы учета'!$E$55</f>
        <v>1</v>
      </c>
      <c r="E22" s="2">
        <f t="shared" si="0"/>
        <v>196.07</v>
      </c>
    </row>
    <row r="23" spans="1:5" x14ac:dyDescent="0.3">
      <c r="A23" s="4">
        <f>'Приборы учета'!$C$58</f>
        <v>47944034</v>
      </c>
      <c r="B23" s="8">
        <f>'Приборы учета'!F58</f>
        <v>3.02</v>
      </c>
      <c r="C23" s="41">
        <f>'Приборы учета'!G58</f>
        <v>3.02</v>
      </c>
      <c r="D23" s="45">
        <f>'Приборы учета'!$E$58</f>
        <v>1</v>
      </c>
      <c r="E23" s="2">
        <f t="shared" si="0"/>
        <v>0</v>
      </c>
    </row>
    <row r="24" spans="1:5" x14ac:dyDescent="0.3">
      <c r="A24" s="4">
        <f>'Приборы учета'!$C$61</f>
        <v>48028578</v>
      </c>
      <c r="B24" s="8">
        <f>'Приборы учета'!F61</f>
        <v>1.27</v>
      </c>
      <c r="C24" s="41">
        <f>'Приборы учета'!G61</f>
        <v>1.27</v>
      </c>
      <c r="D24" s="45">
        <f>'Приборы учета'!$E$61</f>
        <v>1</v>
      </c>
      <c r="E24" s="2">
        <f t="shared" si="0"/>
        <v>0</v>
      </c>
    </row>
    <row r="25" spans="1:5" x14ac:dyDescent="0.3">
      <c r="A25" s="4">
        <f>'Приборы учета'!$C$64</f>
        <v>47770778</v>
      </c>
      <c r="B25" s="8">
        <f>'Приборы учета'!F64</f>
        <v>0.7</v>
      </c>
      <c r="C25" s="41">
        <f>'Приборы учета'!G64</f>
        <v>477.72</v>
      </c>
      <c r="D25" s="45">
        <f>'Приборы учета'!$E$64</f>
        <v>1</v>
      </c>
      <c r="E25" s="2">
        <f t="shared" si="0"/>
        <v>477.02000000000004</v>
      </c>
    </row>
    <row r="26" spans="1:5" x14ac:dyDescent="0.3">
      <c r="A26" s="4">
        <f>'Приборы учета'!$C$67</f>
        <v>48028009</v>
      </c>
      <c r="B26" s="8">
        <f>'Приборы учета'!F67</f>
        <v>2.85</v>
      </c>
      <c r="C26" s="41">
        <f>'Приборы учета'!G67</f>
        <v>2.85</v>
      </c>
      <c r="D26" s="45">
        <f>'Приборы учета'!$E$67</f>
        <v>1</v>
      </c>
      <c r="E26" s="2">
        <f t="shared" si="0"/>
        <v>0</v>
      </c>
    </row>
    <row r="27" spans="1:5" x14ac:dyDescent="0.3">
      <c r="A27" s="4">
        <f>'Приборы учета'!$C$70</f>
        <v>48027985</v>
      </c>
      <c r="B27" s="8">
        <f>'Приборы учета'!F70</f>
        <v>2.4900000000000002</v>
      </c>
      <c r="C27" s="41">
        <f>'Приборы учета'!G70</f>
        <v>2.4900000000000002</v>
      </c>
      <c r="D27" s="45">
        <f>'Приборы учета'!$E$70</f>
        <v>1</v>
      </c>
      <c r="E27" s="2">
        <f t="shared" si="0"/>
        <v>0</v>
      </c>
    </row>
    <row r="28" spans="1:5" x14ac:dyDescent="0.3">
      <c r="A28" s="4">
        <f>'Приборы учета'!$C$73</f>
        <v>47132930</v>
      </c>
      <c r="B28" s="8">
        <f>'Приборы учета'!F73</f>
        <v>3.24</v>
      </c>
      <c r="C28" s="41">
        <f>'Приборы учета'!G73</f>
        <v>3.24</v>
      </c>
      <c r="D28" s="45">
        <f>'Приборы учета'!$E$73</f>
        <v>1</v>
      </c>
      <c r="E28" s="2">
        <f t="shared" si="0"/>
        <v>0</v>
      </c>
    </row>
    <row r="29" spans="1:5" x14ac:dyDescent="0.3">
      <c r="A29" s="4">
        <f>'Приборы учета'!$C$76</f>
        <v>47340969</v>
      </c>
      <c r="B29" s="8">
        <f>'Приборы учета'!F76</f>
        <v>1.03</v>
      </c>
      <c r="C29" s="41">
        <f>'Приборы учета'!G76</f>
        <v>1.03</v>
      </c>
      <c r="D29" s="45">
        <f>'Приборы учета'!$E$76</f>
        <v>1</v>
      </c>
      <c r="E29" s="2">
        <f t="shared" si="0"/>
        <v>0</v>
      </c>
    </row>
    <row r="30" spans="1:5" x14ac:dyDescent="0.3">
      <c r="A30" s="4">
        <f>'Приборы учета'!$C$79</f>
        <v>47314616</v>
      </c>
      <c r="B30" s="8">
        <f>'Приборы учета'!F79</f>
        <v>1.1000000000000001</v>
      </c>
      <c r="C30" s="41">
        <f>'Приборы учета'!G79</f>
        <v>1.1000000000000001</v>
      </c>
      <c r="D30" s="45">
        <f>'Приборы учета'!$E$79</f>
        <v>1</v>
      </c>
      <c r="E30" s="2">
        <f t="shared" si="0"/>
        <v>0</v>
      </c>
    </row>
    <row r="31" spans="1:5" x14ac:dyDescent="0.3">
      <c r="A31" s="4">
        <f>'Приборы учета'!$C$82</f>
        <v>47314696</v>
      </c>
      <c r="B31" s="8">
        <f>'Приборы учета'!F82</f>
        <v>1.78</v>
      </c>
      <c r="C31" s="41">
        <f>'Приборы учета'!G82</f>
        <v>1.78</v>
      </c>
      <c r="D31" s="45">
        <f>'Приборы учета'!$E$82</f>
        <v>1</v>
      </c>
      <c r="E31" s="2">
        <f t="shared" si="0"/>
        <v>0</v>
      </c>
    </row>
    <row r="32" spans="1:5" x14ac:dyDescent="0.3">
      <c r="A32" s="4">
        <f>'Приборы учета'!$C$85</f>
        <v>47315653</v>
      </c>
      <c r="B32" s="8">
        <f>'Приборы учета'!F85</f>
        <v>2.72</v>
      </c>
      <c r="C32" s="41">
        <f>'Приборы учета'!G85</f>
        <v>2.72</v>
      </c>
      <c r="D32" s="45">
        <f>'Приборы учета'!$E$85</f>
        <v>1</v>
      </c>
      <c r="E32" s="2">
        <f t="shared" si="0"/>
        <v>0</v>
      </c>
    </row>
    <row r="33" spans="1:5" x14ac:dyDescent="0.3">
      <c r="A33" s="4">
        <f>'Приборы учета'!$C$88</f>
        <v>47315655</v>
      </c>
      <c r="B33" s="8">
        <f>'Приборы учета'!F88</f>
        <v>0.93</v>
      </c>
      <c r="C33" s="41">
        <f>'Приборы учета'!G88</f>
        <v>3.53</v>
      </c>
      <c r="D33" s="45">
        <f>'Приборы учета'!$E$88</f>
        <v>1</v>
      </c>
      <c r="E33" s="2">
        <f t="shared" si="0"/>
        <v>2.5999999999999996</v>
      </c>
    </row>
    <row r="34" spans="1:5" x14ac:dyDescent="0.3">
      <c r="A34" s="4">
        <f>'Приборы учета'!$C$91</f>
        <v>48021964</v>
      </c>
      <c r="B34" s="8">
        <f>'Приборы учета'!F91</f>
        <v>0.73</v>
      </c>
      <c r="C34" s="41">
        <f>'Приборы учета'!G91</f>
        <v>0.73</v>
      </c>
      <c r="D34" s="45">
        <f>'Приборы учета'!$E$91</f>
        <v>1</v>
      </c>
      <c r="E34" s="2">
        <f t="shared" si="0"/>
        <v>0</v>
      </c>
    </row>
    <row r="35" spans="1:5" x14ac:dyDescent="0.3">
      <c r="A35" s="4">
        <f>'Приборы учета'!$C$94</f>
        <v>48021857</v>
      </c>
      <c r="B35" s="8">
        <f>'Приборы учета'!F94</f>
        <v>0.81</v>
      </c>
      <c r="C35" s="41">
        <f>'Приборы учета'!G94</f>
        <v>0.81</v>
      </c>
      <c r="D35" s="45">
        <f>'Приборы учета'!$E$94</f>
        <v>1</v>
      </c>
      <c r="E35" s="2">
        <f t="shared" si="0"/>
        <v>0</v>
      </c>
    </row>
    <row r="36" spans="1:5" x14ac:dyDescent="0.3">
      <c r="A36" s="4">
        <f>'Приборы учета'!$C$97</f>
        <v>47823890</v>
      </c>
      <c r="B36" s="8">
        <f>'Приборы учета'!F97</f>
        <v>2.37</v>
      </c>
      <c r="C36" s="41">
        <f>'Приборы учета'!G97</f>
        <v>2.37</v>
      </c>
      <c r="D36" s="45">
        <f>'Приборы учета'!$E$97</f>
        <v>1</v>
      </c>
      <c r="E36" s="2">
        <f t="shared" si="0"/>
        <v>0</v>
      </c>
    </row>
    <row r="37" spans="1:5" x14ac:dyDescent="0.3">
      <c r="A37" s="4">
        <f>'Приборы учета'!$C$100</f>
        <v>47823868</v>
      </c>
      <c r="B37" s="8">
        <f>'Приборы учета'!F100</f>
        <v>0.99</v>
      </c>
      <c r="C37" s="41">
        <f>'Приборы учета'!G100</f>
        <v>0.99</v>
      </c>
      <c r="D37" s="45">
        <f>'Приборы учета'!$E$100</f>
        <v>1</v>
      </c>
      <c r="E37" s="2">
        <f t="shared" si="0"/>
        <v>0</v>
      </c>
    </row>
    <row r="38" spans="1:5" x14ac:dyDescent="0.3">
      <c r="A38" s="4">
        <f>'Приборы учета'!$C$103</f>
        <v>47944550</v>
      </c>
      <c r="B38" s="8">
        <f>'Приборы учета'!F103</f>
        <v>0.71</v>
      </c>
      <c r="C38" s="41">
        <f>'Приборы учета'!G103</f>
        <v>0.71</v>
      </c>
      <c r="D38" s="45">
        <f>'Приборы учета'!$E$103</f>
        <v>1</v>
      </c>
      <c r="E38" s="2">
        <f t="shared" si="0"/>
        <v>0</v>
      </c>
    </row>
    <row r="39" spans="1:5" x14ac:dyDescent="0.3">
      <c r="A39" s="4">
        <f>'Приборы учета'!$C$106</f>
        <v>47314611</v>
      </c>
      <c r="B39" s="8">
        <f>'Приборы учета'!F106</f>
        <v>133.97</v>
      </c>
      <c r="C39" s="41">
        <f>'Приборы учета'!G106</f>
        <v>219.76</v>
      </c>
      <c r="D39" s="45">
        <f>'Приборы учета'!$E$106</f>
        <v>1</v>
      </c>
      <c r="E39" s="2">
        <f t="shared" si="0"/>
        <v>85.789999999999992</v>
      </c>
    </row>
    <row r="40" spans="1:5" x14ac:dyDescent="0.3">
      <c r="A40" s="4">
        <f>'Приборы учета'!$C$109</f>
        <v>48028332</v>
      </c>
      <c r="B40" s="8">
        <f>'Приборы учета'!F109</f>
        <v>0.75</v>
      </c>
      <c r="C40" s="41">
        <f>'Приборы учета'!G109</f>
        <v>0.75</v>
      </c>
      <c r="D40" s="45">
        <f>'Приборы учета'!$E$109</f>
        <v>1</v>
      </c>
      <c r="E40" s="2">
        <f t="shared" si="0"/>
        <v>0</v>
      </c>
    </row>
    <row r="41" spans="1:5" x14ac:dyDescent="0.3">
      <c r="A41" s="4">
        <f>'Приборы учета'!$C$112</f>
        <v>48027747</v>
      </c>
      <c r="B41" s="8">
        <f>'Приборы учета'!F112</f>
        <v>417.41</v>
      </c>
      <c r="C41" s="41">
        <f>'Приборы учета'!G112</f>
        <v>773.14</v>
      </c>
      <c r="D41" s="45">
        <f>'Приборы учета'!$E$112</f>
        <v>1</v>
      </c>
      <c r="E41" s="2">
        <f t="shared" si="0"/>
        <v>355.72999999999996</v>
      </c>
    </row>
    <row r="42" spans="1:5" x14ac:dyDescent="0.3">
      <c r="A42" s="4">
        <f>'Приборы учета'!$C$115</f>
        <v>48027788</v>
      </c>
      <c r="B42" s="8">
        <f>'Приборы учета'!F115</f>
        <v>2.57</v>
      </c>
      <c r="C42" s="41">
        <f>'Приборы учета'!G115</f>
        <v>2.57</v>
      </c>
      <c r="D42" s="45">
        <f>'Приборы учета'!$E$115</f>
        <v>1</v>
      </c>
      <c r="E42" s="2">
        <f t="shared" si="0"/>
        <v>0</v>
      </c>
    </row>
    <row r="43" spans="1:5" x14ac:dyDescent="0.3">
      <c r="A43" s="4">
        <f>'Приборы учета'!$C$118</f>
        <v>48028402</v>
      </c>
      <c r="B43" s="8">
        <f>'Приборы учета'!F118</f>
        <v>1.3</v>
      </c>
      <c r="C43" s="41">
        <f>'Приборы учета'!G118</f>
        <v>1.3</v>
      </c>
      <c r="D43" s="45">
        <f>'Приборы учета'!$E$118</f>
        <v>1</v>
      </c>
      <c r="E43" s="2">
        <f t="shared" si="0"/>
        <v>0</v>
      </c>
    </row>
    <row r="44" spans="1:5" x14ac:dyDescent="0.3">
      <c r="A44" s="4">
        <f>'Приборы учета'!$C$121</f>
        <v>48022018</v>
      </c>
      <c r="B44" s="8">
        <f>'Приборы учета'!F121</f>
        <v>76.260000000000005</v>
      </c>
      <c r="C44" s="41">
        <f>'Приборы учета'!G121</f>
        <v>127.1</v>
      </c>
      <c r="D44" s="45">
        <f>'Приборы учета'!$E$121</f>
        <v>1</v>
      </c>
      <c r="E44" s="2">
        <f t="shared" si="0"/>
        <v>50.839999999999989</v>
      </c>
    </row>
    <row r="45" spans="1:5" x14ac:dyDescent="0.3">
      <c r="A45" s="4">
        <f>'Приборы учета'!$C$124</f>
        <v>48027797</v>
      </c>
      <c r="B45" s="8">
        <f>'Приборы учета'!F124</f>
        <v>1.32</v>
      </c>
      <c r="C45" s="41">
        <f>'Приборы учета'!G124</f>
        <v>1.32</v>
      </c>
      <c r="D45" s="45">
        <f>'Приборы учета'!$E$124</f>
        <v>1</v>
      </c>
      <c r="E45" s="2">
        <f t="shared" si="0"/>
        <v>0</v>
      </c>
    </row>
    <row r="46" spans="1:5" x14ac:dyDescent="0.3">
      <c r="A46" s="4">
        <f>'Приборы учета'!$C$127</f>
        <v>48028707</v>
      </c>
      <c r="B46" s="8">
        <f>'Приборы учета'!F127</f>
        <v>0.93</v>
      </c>
      <c r="C46" s="41">
        <f>'Приборы учета'!G127</f>
        <v>0.93</v>
      </c>
      <c r="D46" s="45">
        <f>'Приборы учета'!$E$127</f>
        <v>1</v>
      </c>
      <c r="E46" s="2">
        <f t="shared" si="0"/>
        <v>0</v>
      </c>
    </row>
    <row r="47" spans="1:5" x14ac:dyDescent="0.3">
      <c r="A47" s="4">
        <f>'Приборы учета'!$C$130</f>
        <v>48021950</v>
      </c>
      <c r="B47" s="8">
        <f>'Приборы учета'!F130</f>
        <v>15.15</v>
      </c>
      <c r="C47" s="41">
        <f>'Приборы учета'!G130</f>
        <v>294.27</v>
      </c>
      <c r="D47" s="45">
        <f>'Приборы учета'!$E$130</f>
        <v>1</v>
      </c>
      <c r="E47" s="2">
        <f t="shared" si="0"/>
        <v>279.12</v>
      </c>
    </row>
    <row r="48" spans="1:5" x14ac:dyDescent="0.3">
      <c r="A48" s="4">
        <f>'Приборы учета'!$C$133</f>
        <v>47823848</v>
      </c>
      <c r="B48" s="8">
        <f>'Приборы учета'!F133</f>
        <v>0.72</v>
      </c>
      <c r="C48" s="41">
        <f>'Приборы учета'!G133</f>
        <v>3</v>
      </c>
      <c r="D48" s="45">
        <f>'Приборы учета'!$E$133</f>
        <v>1</v>
      </c>
      <c r="E48" s="2">
        <f t="shared" si="0"/>
        <v>2.2800000000000002</v>
      </c>
    </row>
    <row r="49" spans="1:5" x14ac:dyDescent="0.3">
      <c r="A49" s="4">
        <f>'Приборы учета'!$C$136</f>
        <v>48028378</v>
      </c>
      <c r="B49" s="8">
        <f>'Приборы учета'!F136</f>
        <v>22.42</v>
      </c>
      <c r="C49" s="41">
        <f>'Приборы учета'!G136</f>
        <v>22.42</v>
      </c>
      <c r="D49" s="45">
        <f>'Приборы учета'!$E$136</f>
        <v>1</v>
      </c>
      <c r="E49" s="2">
        <f t="shared" si="0"/>
        <v>0</v>
      </c>
    </row>
    <row r="50" spans="1:5" x14ac:dyDescent="0.3">
      <c r="A50" s="4">
        <f>'Приборы учета'!$C$139</f>
        <v>47315767</v>
      </c>
      <c r="B50" s="8">
        <f>'Приборы учета'!F139</f>
        <v>1.92</v>
      </c>
      <c r="C50" s="41">
        <f>'Приборы учета'!G139</f>
        <v>27.96</v>
      </c>
      <c r="D50" s="45">
        <f>'Приборы учета'!$E$139</f>
        <v>0</v>
      </c>
      <c r="E50" s="2">
        <f t="shared" si="0"/>
        <v>0</v>
      </c>
    </row>
    <row r="51" spans="1:5" x14ac:dyDescent="0.3">
      <c r="A51" s="4">
        <f>'Приборы учета'!$C$142</f>
        <v>48021961</v>
      </c>
      <c r="B51" s="8">
        <f>'Приборы учета'!F142</f>
        <v>498.59</v>
      </c>
      <c r="C51" s="41">
        <f>'Приборы учета'!G142</f>
        <v>986.23</v>
      </c>
      <c r="D51" s="45">
        <f>'Приборы учета'!$E$142</f>
        <v>1</v>
      </c>
      <c r="E51" s="2">
        <f t="shared" si="0"/>
        <v>487.64000000000004</v>
      </c>
    </row>
    <row r="52" spans="1:5" x14ac:dyDescent="0.3">
      <c r="A52" s="4">
        <f>'Приборы учета'!$C$145</f>
        <v>47824390</v>
      </c>
      <c r="B52" s="8">
        <f>'Приборы учета'!F145</f>
        <v>2.7</v>
      </c>
      <c r="C52" s="41">
        <f>'Приборы учета'!G145</f>
        <v>2.7</v>
      </c>
      <c r="D52" s="45">
        <f>'Приборы учета'!$E$145</f>
        <v>1</v>
      </c>
      <c r="E52" s="2">
        <f t="shared" si="0"/>
        <v>0</v>
      </c>
    </row>
    <row r="53" spans="1:5" x14ac:dyDescent="0.3">
      <c r="A53" s="4">
        <f>'Приборы учета'!$C$148</f>
        <v>47823845</v>
      </c>
      <c r="B53" s="8">
        <f>'Приборы учета'!F148</f>
        <v>2.37</v>
      </c>
      <c r="C53" s="41">
        <f>'Приборы учета'!G148</f>
        <v>2.37</v>
      </c>
      <c r="D53" s="45">
        <f>'Приборы учета'!$E$148</f>
        <v>1</v>
      </c>
      <c r="E53" s="2">
        <f t="shared" si="0"/>
        <v>0</v>
      </c>
    </row>
    <row r="54" spans="1:5" x14ac:dyDescent="0.3">
      <c r="A54" s="4">
        <f>'Приборы учета'!$C$151</f>
        <v>48028716</v>
      </c>
      <c r="B54" s="8">
        <f>'Приборы учета'!F151</f>
        <v>3.17</v>
      </c>
      <c r="C54" s="41">
        <f>'Приборы учета'!G151</f>
        <v>3.17</v>
      </c>
      <c r="D54" s="46">
        <f>'Приборы учета'!$E$151</f>
        <v>1</v>
      </c>
      <c r="E54" s="2">
        <f t="shared" si="0"/>
        <v>0</v>
      </c>
    </row>
    <row r="55" spans="1:5" x14ac:dyDescent="0.3">
      <c r="A55" s="4">
        <f>'Приборы учета'!$C$154</f>
        <v>48027758</v>
      </c>
      <c r="B55" s="8">
        <f>'Приборы учета'!F154</f>
        <v>112.93</v>
      </c>
      <c r="C55" s="41">
        <f>'Приборы учета'!G154</f>
        <v>628.91999999999996</v>
      </c>
      <c r="D55" s="45">
        <f>'Приборы учета'!$E$154</f>
        <v>1</v>
      </c>
      <c r="E55" s="2">
        <f t="shared" si="0"/>
        <v>515.99</v>
      </c>
    </row>
    <row r="56" spans="1:5" x14ac:dyDescent="0.3">
      <c r="A56" s="4">
        <f>'Приборы учета'!$C$157</f>
        <v>48022214</v>
      </c>
      <c r="B56" s="8">
        <f>'Приборы учета'!F157</f>
        <v>85.94</v>
      </c>
      <c r="C56" s="41">
        <f>'Приборы учета'!G157</f>
        <v>398.53</v>
      </c>
      <c r="D56" s="46">
        <f>'Приборы учета'!$E$157</f>
        <v>1</v>
      </c>
      <c r="E56" s="2">
        <f t="shared" si="0"/>
        <v>312.58999999999997</v>
      </c>
    </row>
    <row r="57" spans="1:5" x14ac:dyDescent="0.3">
      <c r="A57" s="4">
        <f>'Приборы учета'!$C$160</f>
        <v>47823918</v>
      </c>
      <c r="B57" s="8">
        <f>'Приборы учета'!F160</f>
        <v>2080.31</v>
      </c>
      <c r="C57" s="41">
        <f>'Приборы учета'!G160</f>
        <v>2080.31</v>
      </c>
      <c r="D57" s="45">
        <f>'Приборы учета'!$E$160</f>
        <v>1</v>
      </c>
      <c r="E57" s="2">
        <f t="shared" si="0"/>
        <v>0</v>
      </c>
    </row>
    <row r="58" spans="1:5" x14ac:dyDescent="0.3">
      <c r="A58" s="4">
        <f>'Приборы учета'!$C$163</f>
        <v>47823735</v>
      </c>
      <c r="B58" s="8">
        <f>'Приборы учета'!F163</f>
        <v>245.37</v>
      </c>
      <c r="C58" s="41">
        <f>'Приборы учета'!G163</f>
        <v>314.7</v>
      </c>
      <c r="D58" s="45">
        <f>'Приборы учета'!$E$163</f>
        <v>1</v>
      </c>
      <c r="E58" s="2">
        <f t="shared" si="0"/>
        <v>69.329999999999984</v>
      </c>
    </row>
    <row r="59" spans="1:5" x14ac:dyDescent="0.3">
      <c r="A59" s="4">
        <f>'Приборы учета'!$C$166</f>
        <v>47823838</v>
      </c>
      <c r="B59" s="8">
        <f>'Приборы учета'!F166</f>
        <v>3.65</v>
      </c>
      <c r="C59" s="41">
        <f>'Приборы учета'!G166</f>
        <v>3.65</v>
      </c>
      <c r="D59" s="45">
        <f>'Приборы учета'!$E$166</f>
        <v>1</v>
      </c>
      <c r="E59" s="2">
        <f t="shared" si="0"/>
        <v>0</v>
      </c>
    </row>
    <row r="60" spans="1:5" x14ac:dyDescent="0.3">
      <c r="A60" s="4">
        <f>'Приборы учета'!$C$169</f>
        <v>48027980</v>
      </c>
      <c r="B60" s="8">
        <f>'Приборы учета'!F169</f>
        <v>23.51</v>
      </c>
      <c r="C60" s="41">
        <f>'Приборы учета'!G169</f>
        <v>23.51</v>
      </c>
      <c r="D60" s="46">
        <f>'Приборы учета'!$E$169</f>
        <v>1</v>
      </c>
      <c r="E60" s="2">
        <f t="shared" si="0"/>
        <v>0</v>
      </c>
    </row>
    <row r="61" spans="1:5" x14ac:dyDescent="0.3">
      <c r="A61" s="4">
        <f>'Приборы учета'!$C$172</f>
        <v>47647148</v>
      </c>
      <c r="B61" s="8">
        <f>'Приборы учета'!F172</f>
        <v>437.91</v>
      </c>
      <c r="C61" s="41">
        <f>'Приборы учета'!G172</f>
        <v>1181.8399999999999</v>
      </c>
      <c r="D61" s="45">
        <f>'Приборы учета'!$E$172</f>
        <v>1</v>
      </c>
      <c r="E61" s="2">
        <f t="shared" si="0"/>
        <v>743.92999999999984</v>
      </c>
    </row>
    <row r="62" spans="1:5" x14ac:dyDescent="0.3">
      <c r="A62" s="4">
        <f>'Приборы учета'!$C$175</f>
        <v>48022115</v>
      </c>
      <c r="B62" s="8">
        <f>'Приборы учета'!F175</f>
        <v>206.79</v>
      </c>
      <c r="C62" s="41">
        <f>'Приборы учета'!G175</f>
        <v>544.24</v>
      </c>
      <c r="D62" s="46">
        <f>'Приборы учета'!$E$175</f>
        <v>1</v>
      </c>
      <c r="E62" s="2">
        <f t="shared" si="0"/>
        <v>337.45000000000005</v>
      </c>
    </row>
    <row r="63" spans="1:5" x14ac:dyDescent="0.3">
      <c r="A63" s="4">
        <f>'Приборы учета'!C186</f>
        <v>47947303</v>
      </c>
      <c r="B63" s="8">
        <f>'Приборы учета'!F186</f>
        <v>0.87</v>
      </c>
      <c r="C63" s="41">
        <f>'Приборы учета'!G186</f>
        <v>0.87</v>
      </c>
      <c r="D63" s="45">
        <f>'Приборы учета'!E186</f>
        <v>16</v>
      </c>
      <c r="E63" s="2">
        <f t="shared" si="0"/>
        <v>0</v>
      </c>
    </row>
    <row r="64" spans="1:5" x14ac:dyDescent="0.3">
      <c r="A64" s="4">
        <f>'Приборы учета'!C187</f>
        <v>47649491</v>
      </c>
      <c r="B64" s="9">
        <f>'Приборы учета'!F187</f>
        <v>0.45</v>
      </c>
      <c r="C64" s="41">
        <f>'Приборы учета'!G187</f>
        <v>0.45</v>
      </c>
      <c r="D64" s="46">
        <f>'Приборы учета'!E187</f>
        <v>30</v>
      </c>
      <c r="E64" s="2">
        <f t="shared" si="0"/>
        <v>0</v>
      </c>
    </row>
    <row r="65" spans="1:5" x14ac:dyDescent="0.3">
      <c r="A65" s="4">
        <f>'Приборы учета'!C198</f>
        <v>48030532</v>
      </c>
      <c r="B65" s="9">
        <f>'Приборы учета'!F198</f>
        <v>0.53</v>
      </c>
      <c r="C65" s="41">
        <f>'Приборы учета'!G198</f>
        <v>3.86</v>
      </c>
      <c r="D65" s="45">
        <f>'Приборы учета'!E198</f>
        <v>16</v>
      </c>
      <c r="E65" s="2">
        <f t="shared" si="0"/>
        <v>53.28</v>
      </c>
    </row>
    <row r="66" spans="1:5" x14ac:dyDescent="0.3">
      <c r="A66" s="4">
        <f>'Приборы учета'!C199</f>
        <v>47948016</v>
      </c>
      <c r="B66" s="9">
        <f>'Приборы учета'!F199</f>
        <v>178.75</v>
      </c>
      <c r="C66" s="41">
        <f>'Приборы учета'!G199</f>
        <v>189.23</v>
      </c>
      <c r="D66" s="46">
        <f>'Приборы учета'!E199</f>
        <v>30</v>
      </c>
      <c r="E66" s="2">
        <f t="shared" si="0"/>
        <v>314.39999999999969</v>
      </c>
    </row>
    <row r="67" spans="1:5" x14ac:dyDescent="0.3">
      <c r="A67" s="4" t="str">
        <f>'Приборы учета'!C210</f>
        <v>47947258_23</v>
      </c>
      <c r="B67" s="9">
        <f>'Приборы учета'!F210</f>
        <v>0.74</v>
      </c>
      <c r="C67" s="41">
        <f>'Приборы учета'!G210</f>
        <v>0.74</v>
      </c>
      <c r="D67" s="45">
        <f>'Приборы учета'!E210</f>
        <v>16</v>
      </c>
      <c r="E67" s="2">
        <f t="shared" ref="E67:E111" si="1">D67*(C67-B67)</f>
        <v>0</v>
      </c>
    </row>
    <row r="68" spans="1:5" x14ac:dyDescent="0.3">
      <c r="A68" s="4" t="str">
        <f>'Приборы учета'!C211</f>
        <v>47946518_23</v>
      </c>
      <c r="B68" s="9">
        <f>'Приборы учета'!F211</f>
        <v>129.86000000000001</v>
      </c>
      <c r="C68" s="41">
        <f>'Приборы учета'!G211</f>
        <v>177.48</v>
      </c>
      <c r="D68" s="45">
        <f>'Приборы учета'!E211</f>
        <v>30</v>
      </c>
      <c r="E68" s="2">
        <f t="shared" si="1"/>
        <v>1428.5999999999992</v>
      </c>
    </row>
    <row r="69" spans="1:5" x14ac:dyDescent="0.3">
      <c r="A69" s="4" t="str">
        <f>'Приборы учета'!C222</f>
        <v>48030373_23</v>
      </c>
      <c r="B69" s="9">
        <f>'Приборы учета'!F222</f>
        <v>0.65</v>
      </c>
      <c r="C69" s="41">
        <f>'Приборы учета'!G222</f>
        <v>0.65</v>
      </c>
      <c r="D69" s="45">
        <f>'Приборы учета'!E222</f>
        <v>16</v>
      </c>
      <c r="E69" s="2">
        <f t="shared" si="1"/>
        <v>0</v>
      </c>
    </row>
    <row r="70" spans="1:5" x14ac:dyDescent="0.3">
      <c r="A70" s="4" t="str">
        <f>'Приборы учета'!C223</f>
        <v>47947762-23</v>
      </c>
      <c r="B70" s="9">
        <f>'Приборы учета'!F223</f>
        <v>47.1</v>
      </c>
      <c r="C70" s="41">
        <f>'Приборы учета'!G223</f>
        <v>70.81</v>
      </c>
      <c r="D70" s="45">
        <f>'Приборы учета'!E223</f>
        <v>30</v>
      </c>
      <c r="E70" s="2">
        <f t="shared" si="1"/>
        <v>711.30000000000007</v>
      </c>
    </row>
    <row r="71" spans="1:5" x14ac:dyDescent="0.3">
      <c r="A71" s="4" t="str">
        <f>'Приборы учета'!C234</f>
        <v>47948445-23</v>
      </c>
      <c r="B71" s="9">
        <f>'Приборы учета'!F234</f>
        <v>49.67</v>
      </c>
      <c r="C71" s="41">
        <f>'Приборы учета'!G234</f>
        <v>74.489999999999995</v>
      </c>
      <c r="D71" s="45">
        <f>'Приборы учета'!E234</f>
        <v>30</v>
      </c>
      <c r="E71" s="2">
        <f t="shared" si="1"/>
        <v>744.5999999999998</v>
      </c>
    </row>
    <row r="72" spans="1:5" x14ac:dyDescent="0.3">
      <c r="A72" s="4" t="str">
        <f>'Приборы учета'!C235</f>
        <v>48030421-23</v>
      </c>
      <c r="B72" s="9">
        <f>'Приборы учета'!F235</f>
        <v>0.8</v>
      </c>
      <c r="C72" s="41">
        <f>'Приборы учета'!G235</f>
        <v>0.8</v>
      </c>
      <c r="D72" s="46">
        <f>'Приборы учета'!E235</f>
        <v>16</v>
      </c>
      <c r="E72" s="2">
        <f t="shared" si="1"/>
        <v>0</v>
      </c>
    </row>
    <row r="73" spans="1:5" x14ac:dyDescent="0.3">
      <c r="A73" s="4" t="str">
        <f>'Приборы учета'!C246</f>
        <v>47947519_23</v>
      </c>
      <c r="B73" s="9">
        <f>'Приборы учета'!F246</f>
        <v>0.59</v>
      </c>
      <c r="C73" s="41">
        <f>'Приборы учета'!G246</f>
        <v>0.59</v>
      </c>
      <c r="D73" s="45">
        <f>'Приборы учета'!E246</f>
        <v>16</v>
      </c>
      <c r="E73" s="2">
        <f t="shared" si="1"/>
        <v>0</v>
      </c>
    </row>
    <row r="74" spans="1:5" x14ac:dyDescent="0.3">
      <c r="A74" s="4" t="str">
        <f>'Приборы учета'!C247</f>
        <v>47948692-23</v>
      </c>
      <c r="B74" s="9">
        <f>'Приборы учета'!F247</f>
        <v>64.92</v>
      </c>
      <c r="C74" s="41">
        <f>'Приборы учета'!G247</f>
        <v>93.87</v>
      </c>
      <c r="D74" s="45">
        <f>'Приборы учета'!E247</f>
        <v>30</v>
      </c>
      <c r="E74" s="2">
        <f t="shared" si="1"/>
        <v>868.50000000000011</v>
      </c>
    </row>
    <row r="75" spans="1:5" x14ac:dyDescent="0.3">
      <c r="A75" s="4" t="str">
        <f>'Приборы учета'!C258</f>
        <v>47947261_23</v>
      </c>
      <c r="B75" s="9">
        <f>'Приборы учета'!F258</f>
        <v>0.61</v>
      </c>
      <c r="C75" s="41">
        <f>'Приборы учета'!G258</f>
        <v>0.61</v>
      </c>
      <c r="D75" s="46">
        <f>'Приборы учета'!E258</f>
        <v>16</v>
      </c>
      <c r="E75" s="2">
        <f t="shared" si="1"/>
        <v>0</v>
      </c>
    </row>
    <row r="76" spans="1:5" x14ac:dyDescent="0.3">
      <c r="A76" s="4" t="str">
        <f>'Приборы учета'!C259</f>
        <v>47946886-23</v>
      </c>
      <c r="B76" s="9">
        <f>'Приборы учета'!F259</f>
        <v>81.489999999999995</v>
      </c>
      <c r="C76" s="41">
        <f>'Приборы учета'!G259</f>
        <v>113.02</v>
      </c>
      <c r="D76" s="45">
        <f>'Приборы учета'!E259</f>
        <v>30</v>
      </c>
      <c r="E76" s="2">
        <f t="shared" si="1"/>
        <v>945.90000000000009</v>
      </c>
    </row>
    <row r="77" spans="1:5" x14ac:dyDescent="0.3">
      <c r="A77" s="4">
        <f>'Приборы учета'!C270</f>
        <v>47947375</v>
      </c>
      <c r="B77" s="9">
        <f>'Приборы учета'!F270</f>
        <v>0.81</v>
      </c>
      <c r="C77" s="41">
        <f>'Приборы учета'!G270</f>
        <v>435.26</v>
      </c>
      <c r="D77" s="46">
        <f>'Приборы учета'!E270</f>
        <v>16</v>
      </c>
      <c r="E77" s="2">
        <f t="shared" si="1"/>
        <v>6951.2</v>
      </c>
    </row>
    <row r="78" spans="1:5" x14ac:dyDescent="0.3">
      <c r="A78" s="4">
        <f>'Приборы учета'!C271</f>
        <v>47947374</v>
      </c>
      <c r="B78" s="9">
        <f>'Приборы учета'!F271</f>
        <v>0.77</v>
      </c>
      <c r="C78" s="41">
        <f>'Приборы учета'!G271</f>
        <v>0.77</v>
      </c>
      <c r="D78" s="45">
        <f>'Приборы учета'!E271</f>
        <v>30</v>
      </c>
      <c r="E78" s="2">
        <f t="shared" si="1"/>
        <v>0</v>
      </c>
    </row>
    <row r="79" spans="1:5" x14ac:dyDescent="0.3">
      <c r="A79" s="4">
        <f>'Приборы учета'!C282</f>
        <v>47947340</v>
      </c>
      <c r="B79" s="9">
        <f>'Приборы учета'!F282</f>
        <v>1.3</v>
      </c>
      <c r="C79" s="41">
        <f>'Приборы учета'!G282</f>
        <v>275.45</v>
      </c>
      <c r="D79" s="46">
        <f>'Приборы учета'!E282</f>
        <v>16</v>
      </c>
      <c r="E79" s="2">
        <f t="shared" si="1"/>
        <v>4386.3999999999996</v>
      </c>
    </row>
    <row r="80" spans="1:5" x14ac:dyDescent="0.3">
      <c r="A80" s="4">
        <f>'Приборы учета'!C283</f>
        <v>47772526</v>
      </c>
      <c r="B80" s="9">
        <f>'Приборы учета'!F283</f>
        <v>0.27</v>
      </c>
      <c r="C80" s="41">
        <f>'Приборы учета'!G283</f>
        <v>0.27</v>
      </c>
      <c r="D80" s="45">
        <f>'Приборы учета'!E283</f>
        <v>30</v>
      </c>
      <c r="E80" s="2">
        <f t="shared" si="1"/>
        <v>0</v>
      </c>
    </row>
    <row r="81" spans="1:5" x14ac:dyDescent="0.3">
      <c r="A81" s="4" t="str">
        <f>'Приборы учета'!C294</f>
        <v>47947310_23</v>
      </c>
      <c r="B81" s="9">
        <f>'Приборы учета'!F294</f>
        <v>0.65</v>
      </c>
      <c r="C81" s="41">
        <f>'Приборы учета'!G294</f>
        <v>0.65</v>
      </c>
      <c r="D81" s="46">
        <f>'Приборы учета'!E294</f>
        <v>16</v>
      </c>
      <c r="E81" s="2">
        <f t="shared" si="1"/>
        <v>0</v>
      </c>
    </row>
    <row r="82" spans="1:5" x14ac:dyDescent="0.3">
      <c r="A82" s="4" t="str">
        <f>'Приборы учета'!C295</f>
        <v>47948591-23</v>
      </c>
      <c r="B82" s="9">
        <f>'Приборы учета'!F295</f>
        <v>120.52</v>
      </c>
      <c r="C82" s="41">
        <f>'Приборы учета'!G295</f>
        <v>187.87</v>
      </c>
      <c r="D82" s="45">
        <f>'Приборы учета'!E295</f>
        <v>30</v>
      </c>
      <c r="E82" s="2">
        <f t="shared" si="1"/>
        <v>2020.5000000000002</v>
      </c>
    </row>
    <row r="83" spans="1:5" x14ac:dyDescent="0.3">
      <c r="A83" s="4" t="str">
        <f>'Приборы учета'!C306</f>
        <v>47946532-23</v>
      </c>
      <c r="B83" s="9">
        <f>'Приборы учета'!F306</f>
        <v>0.79</v>
      </c>
      <c r="C83" s="41">
        <f>'Приборы учета'!G306</f>
        <v>0.79</v>
      </c>
      <c r="D83" s="46">
        <f>'Приборы учета'!E306</f>
        <v>16</v>
      </c>
      <c r="E83" s="2">
        <f t="shared" si="1"/>
        <v>0</v>
      </c>
    </row>
    <row r="84" spans="1:5" x14ac:dyDescent="0.3">
      <c r="A84" s="4" t="str">
        <f>'Приборы учета'!C307</f>
        <v>47948662-23</v>
      </c>
      <c r="B84" s="9">
        <f>'Приборы учета'!F307</f>
        <v>1.1100000000000001</v>
      </c>
      <c r="C84" s="41">
        <f>'Приборы учета'!G307</f>
        <v>1.1100000000000001</v>
      </c>
      <c r="D84" s="45">
        <f>'Приборы учета'!E307</f>
        <v>30</v>
      </c>
      <c r="E84" s="2">
        <f t="shared" si="1"/>
        <v>0</v>
      </c>
    </row>
    <row r="85" spans="1:5" x14ac:dyDescent="0.3">
      <c r="A85" s="4">
        <f>'Приборы учета'!C318</f>
        <v>47946552</v>
      </c>
      <c r="B85" s="9">
        <f>'Приборы учета'!F318</f>
        <v>1.08</v>
      </c>
      <c r="C85" s="41">
        <f>'Приборы учета'!G318</f>
        <v>1.08</v>
      </c>
      <c r="D85" s="46">
        <f>'Приборы учета'!E318</f>
        <v>0</v>
      </c>
      <c r="E85" s="2">
        <f t="shared" si="1"/>
        <v>0</v>
      </c>
    </row>
    <row r="86" spans="1:5" x14ac:dyDescent="0.3">
      <c r="A86" s="4">
        <f>'Приборы учета'!C319</f>
        <v>47948509</v>
      </c>
      <c r="B86" s="9">
        <f>'Приборы учета'!F319</f>
        <v>0.48</v>
      </c>
      <c r="C86" s="41">
        <f>'Приборы учета'!G319</f>
        <v>0.48</v>
      </c>
      <c r="D86" s="45">
        <f>'Приборы учета'!E319</f>
        <v>0</v>
      </c>
      <c r="E86" s="2">
        <f t="shared" si="1"/>
        <v>0</v>
      </c>
    </row>
    <row r="87" spans="1:5" x14ac:dyDescent="0.3">
      <c r="A87" s="4" t="str">
        <f>'Приборы учета'!$C$322</f>
        <v>47314618-22</v>
      </c>
      <c r="B87" s="9">
        <f>'Приборы учета'!F322</f>
        <v>279.64</v>
      </c>
      <c r="C87" s="41">
        <f>'Приборы учета'!G322</f>
        <v>279.64</v>
      </c>
      <c r="D87" s="46">
        <f>'Приборы учета'!$E$322</f>
        <v>1</v>
      </c>
      <c r="E87" s="2">
        <f t="shared" si="1"/>
        <v>0</v>
      </c>
    </row>
    <row r="88" spans="1:5" x14ac:dyDescent="0.3">
      <c r="A88" s="4" t="str">
        <f>'Приборы учета'!$C$325</f>
        <v>47180054-22</v>
      </c>
      <c r="B88" s="9">
        <f>'Приборы учета'!F325</f>
        <v>5.94</v>
      </c>
      <c r="C88" s="41">
        <f>'Приборы учета'!G325</f>
        <v>5.94</v>
      </c>
      <c r="D88" s="45">
        <f>'Приборы учета'!$E$325</f>
        <v>1</v>
      </c>
      <c r="E88" s="2">
        <f t="shared" si="1"/>
        <v>0</v>
      </c>
    </row>
    <row r="89" spans="1:5" x14ac:dyDescent="0.3">
      <c r="A89" s="4" t="str">
        <f>'Приборы учета'!$C$328</f>
        <v>47315700-22</v>
      </c>
      <c r="B89" s="9">
        <f>'Приборы учета'!F328</f>
        <v>13.92</v>
      </c>
      <c r="C89" s="41">
        <f>'Приборы учета'!G328</f>
        <v>15.73</v>
      </c>
      <c r="D89" s="46">
        <f>'Приборы учета'!$E$328</f>
        <v>1</v>
      </c>
      <c r="E89" s="2">
        <f t="shared" si="1"/>
        <v>1.8100000000000005</v>
      </c>
    </row>
    <row r="90" spans="1:5" x14ac:dyDescent="0.3">
      <c r="A90" s="4" t="str">
        <f>'Приборы учета'!$C$331</f>
        <v>47049629-22</v>
      </c>
      <c r="B90" s="9">
        <f>'Приборы учета'!F331</f>
        <v>3.58</v>
      </c>
      <c r="C90" s="41">
        <f>'Приборы учета'!G331</f>
        <v>5.46</v>
      </c>
      <c r="D90" s="45">
        <f>'Приборы учета'!$E$331</f>
        <v>1</v>
      </c>
      <c r="E90" s="2">
        <f t="shared" si="1"/>
        <v>1.88</v>
      </c>
    </row>
    <row r="91" spans="1:5" x14ac:dyDescent="0.3">
      <c r="A91" s="4" t="str">
        <f>'Приборы учета'!C340</f>
        <v>47947306-23</v>
      </c>
      <c r="B91" s="9">
        <f>'Приборы учета'!F340</f>
        <v>1.97</v>
      </c>
      <c r="C91" s="41">
        <f>'Приборы учета'!G340</f>
        <v>1.97</v>
      </c>
      <c r="D91" s="45">
        <f>'Приборы учета'!E340</f>
        <v>16</v>
      </c>
      <c r="E91" s="2">
        <f t="shared" si="1"/>
        <v>0</v>
      </c>
    </row>
    <row r="92" spans="1:5" x14ac:dyDescent="0.3">
      <c r="A92" s="4" t="str">
        <f>'Приборы учета'!C341</f>
        <v>51800909-25</v>
      </c>
      <c r="B92" s="9">
        <f>'Приборы учета'!F341</f>
        <v>0.47</v>
      </c>
      <c r="C92" s="41">
        <f>'Приборы учета'!G341</f>
        <v>0.47</v>
      </c>
      <c r="D92" s="45">
        <f>'Приборы учета'!E341</f>
        <v>30</v>
      </c>
      <c r="E92" s="2">
        <f t="shared" si="1"/>
        <v>0</v>
      </c>
    </row>
    <row r="93" spans="1:5" x14ac:dyDescent="0.3">
      <c r="A93" s="4" t="str">
        <f>'Приборы учета'!$C$344</f>
        <v>51801541-25</v>
      </c>
      <c r="B93" s="8">
        <f>'Приборы учета'!F344</f>
        <v>0.74</v>
      </c>
      <c r="C93" s="41">
        <f>'Приборы учета'!G344</f>
        <v>0.74</v>
      </c>
      <c r="D93" s="47">
        <f>'Приборы учета'!$E$344</f>
        <v>30</v>
      </c>
      <c r="E93" s="2">
        <f t="shared" si="1"/>
        <v>0</v>
      </c>
    </row>
    <row r="94" spans="1:5" x14ac:dyDescent="0.3">
      <c r="A94" s="4" t="str">
        <f>'Приборы учета'!C355</f>
        <v>48030399-23</v>
      </c>
      <c r="B94" s="8">
        <f>'Приборы учета'!F355</f>
        <v>54.41</v>
      </c>
      <c r="C94" s="41">
        <f>'Приборы учета'!G355</f>
        <v>199.65</v>
      </c>
      <c r="D94" s="47">
        <f>'Приборы учета'!E355</f>
        <v>16</v>
      </c>
      <c r="E94" s="2">
        <f t="shared" si="1"/>
        <v>2323.84</v>
      </c>
    </row>
    <row r="95" spans="1:5" x14ac:dyDescent="0.3">
      <c r="A95" s="4" t="str">
        <f>'Приборы учета'!C356</f>
        <v xml:space="preserve">49157787-24  </v>
      </c>
      <c r="B95" s="8">
        <f>'Приборы учета'!F356</f>
        <v>0.88</v>
      </c>
      <c r="C95" s="41">
        <f>'Приборы учета'!G356</f>
        <v>0.88</v>
      </c>
      <c r="D95" s="47">
        <f>'Приборы учета'!E356</f>
        <v>30</v>
      </c>
      <c r="E95" s="2">
        <f t="shared" si="1"/>
        <v>0</v>
      </c>
    </row>
    <row r="96" spans="1:5" x14ac:dyDescent="0.3">
      <c r="A96" s="4" t="str">
        <f>'Приборы учета'!C367</f>
        <v>47947359-23</v>
      </c>
      <c r="B96" s="8">
        <f>'Приборы учета'!F367</f>
        <v>58.84</v>
      </c>
      <c r="C96" s="41">
        <f>'Приборы учета'!G367</f>
        <v>174.32</v>
      </c>
      <c r="D96" s="47">
        <f>'Приборы учета'!E367</f>
        <v>16</v>
      </c>
      <c r="E96" s="2">
        <f t="shared" si="1"/>
        <v>1847.6799999999998</v>
      </c>
    </row>
    <row r="97" spans="1:5" x14ac:dyDescent="0.3">
      <c r="A97" s="4" t="str">
        <f>'Приборы учета'!C368</f>
        <v xml:space="preserve">49242216-24     </v>
      </c>
      <c r="B97" s="8">
        <f>'Приборы учета'!F368</f>
        <v>0.25</v>
      </c>
      <c r="C97" s="41">
        <f>'Приборы учета'!G368</f>
        <v>0.25</v>
      </c>
      <c r="D97" s="47">
        <f>'Приборы учета'!E368</f>
        <v>30</v>
      </c>
      <c r="E97" s="2">
        <f t="shared" si="1"/>
        <v>0</v>
      </c>
    </row>
    <row r="98" spans="1:5" x14ac:dyDescent="0.3">
      <c r="A98" s="4" t="str">
        <f>'Приборы учета'!C379</f>
        <v>47946855-23</v>
      </c>
      <c r="B98" s="8">
        <f>'Приборы учета'!F379</f>
        <v>0.6</v>
      </c>
      <c r="C98" s="41">
        <f>'Приборы учета'!G379</f>
        <v>0.6</v>
      </c>
      <c r="D98" s="45">
        <f>'Приборы учета'!E379</f>
        <v>16</v>
      </c>
      <c r="E98" s="2">
        <f t="shared" si="1"/>
        <v>0</v>
      </c>
    </row>
    <row r="99" spans="1:5" x14ac:dyDescent="0.3">
      <c r="A99" s="4" t="str">
        <f>'Приборы учета'!C380</f>
        <v xml:space="preserve">49242267-24      </v>
      </c>
      <c r="B99" s="8">
        <f>'Приборы учета'!F380</f>
        <v>0.52</v>
      </c>
      <c r="C99" s="41">
        <f>'Приборы учета'!G380</f>
        <v>0.52</v>
      </c>
      <c r="D99" s="45">
        <f>'Приборы учета'!E380</f>
        <v>30</v>
      </c>
      <c r="E99" s="2">
        <f t="shared" si="1"/>
        <v>0</v>
      </c>
    </row>
    <row r="100" spans="1:5" x14ac:dyDescent="0.3">
      <c r="A100" s="4" t="str">
        <f>'Приборы учета'!C391</f>
        <v>47947450-23</v>
      </c>
      <c r="B100" s="2">
        <f>'Приборы учета'!F391</f>
        <v>0.49</v>
      </c>
      <c r="C100" s="2">
        <f>'Приборы учета'!G391</f>
        <v>0.49</v>
      </c>
      <c r="D100" s="46">
        <f>'Приборы учета'!E391</f>
        <v>16</v>
      </c>
      <c r="E100" s="2">
        <f t="shared" si="1"/>
        <v>0</v>
      </c>
    </row>
    <row r="101" spans="1:5" x14ac:dyDescent="0.3">
      <c r="A101" s="4" t="str">
        <f>'Приборы учета'!C392</f>
        <v xml:space="preserve">49242266-24    </v>
      </c>
      <c r="B101" s="2">
        <f>'Приборы учета'!F392</f>
        <v>0.38</v>
      </c>
      <c r="C101" s="2">
        <f>'Приборы учета'!G392</f>
        <v>0.38</v>
      </c>
      <c r="D101" s="46">
        <f>'Приборы учета'!E392</f>
        <v>30</v>
      </c>
      <c r="E101" s="2">
        <f t="shared" si="1"/>
        <v>0</v>
      </c>
    </row>
    <row r="102" spans="1:5" x14ac:dyDescent="0.3">
      <c r="A102" s="4" t="str">
        <f>'Приборы учета'!C403</f>
        <v>48030276-23</v>
      </c>
      <c r="B102" s="2">
        <f>'Приборы учета'!F403</f>
        <v>0.6</v>
      </c>
      <c r="C102" s="2">
        <f>'Приборы учета'!G403</f>
        <v>0.6</v>
      </c>
      <c r="D102" s="46">
        <f>'Приборы учета'!E403</f>
        <v>16</v>
      </c>
      <c r="E102" s="2">
        <f t="shared" si="1"/>
        <v>0</v>
      </c>
    </row>
    <row r="103" spans="1:5" x14ac:dyDescent="0.3">
      <c r="A103" s="4" t="str">
        <f>'Приборы учета'!C404</f>
        <v>48030200-23</v>
      </c>
      <c r="B103" s="2">
        <f>'Приборы учета'!F404</f>
        <v>0.67</v>
      </c>
      <c r="C103" s="2">
        <f>'Приборы учета'!G404</f>
        <v>0.67</v>
      </c>
      <c r="D103" s="46">
        <f>'Приборы учета'!E404</f>
        <v>30</v>
      </c>
      <c r="E103" s="2">
        <f t="shared" si="1"/>
        <v>0</v>
      </c>
    </row>
    <row r="104" spans="1:5" x14ac:dyDescent="0.3">
      <c r="A104" s="4" t="str">
        <f>'Приборы учета'!C415</f>
        <v>49747368-23</v>
      </c>
      <c r="B104" s="2">
        <f>'Приборы учета'!F415</f>
        <v>0.99</v>
      </c>
      <c r="C104" s="2">
        <f>'Приборы учета'!G415</f>
        <v>0.99</v>
      </c>
      <c r="D104" s="46">
        <f>'Приборы учета'!E415</f>
        <v>16</v>
      </c>
      <c r="E104" s="2">
        <f t="shared" si="1"/>
        <v>0</v>
      </c>
    </row>
    <row r="105" spans="1:5" x14ac:dyDescent="0.3">
      <c r="A105" s="4" t="str">
        <f>'Приборы учета'!C416</f>
        <v xml:space="preserve">49242135-24   </v>
      </c>
      <c r="B105" s="2">
        <f>'Приборы учета'!F416</f>
        <v>0.89</v>
      </c>
      <c r="C105" s="2">
        <f>'Приборы учета'!G416</f>
        <v>0.89</v>
      </c>
      <c r="D105" s="46">
        <f>'Приборы учета'!E416</f>
        <v>30</v>
      </c>
      <c r="E105" s="2">
        <f t="shared" si="1"/>
        <v>0</v>
      </c>
    </row>
    <row r="106" spans="1:5" x14ac:dyDescent="0.3">
      <c r="A106" s="4" t="str">
        <f>'Приборы учета'!C427</f>
        <v>47947096-23</v>
      </c>
      <c r="B106" s="2">
        <f>'Приборы учета'!F427</f>
        <v>0.74</v>
      </c>
      <c r="C106" s="2">
        <f>'Приборы учета'!G427</f>
        <v>0.74</v>
      </c>
      <c r="D106" s="46">
        <f>'Приборы учета'!E427</f>
        <v>16</v>
      </c>
      <c r="E106" s="2">
        <f t="shared" si="1"/>
        <v>0</v>
      </c>
    </row>
    <row r="107" spans="1:5" x14ac:dyDescent="0.3">
      <c r="A107" s="4" t="str">
        <f>'Приборы учета'!C428</f>
        <v xml:space="preserve">49242451-24 </v>
      </c>
      <c r="B107" s="2">
        <f>'Приборы учета'!F428</f>
        <v>98.98</v>
      </c>
      <c r="C107" s="2">
        <f>'Приборы учета'!G428</f>
        <v>98.98</v>
      </c>
      <c r="D107" s="46">
        <f>'Приборы учета'!E428</f>
        <v>30</v>
      </c>
      <c r="E107" s="2">
        <f t="shared" si="1"/>
        <v>0</v>
      </c>
    </row>
    <row r="108" spans="1:5" x14ac:dyDescent="0.3">
      <c r="A108" s="4" t="str">
        <f>'Приборы учета'!C439</f>
        <v>47946716-23</v>
      </c>
      <c r="B108" s="2">
        <f>'Приборы учета'!F439</f>
        <v>1.25</v>
      </c>
      <c r="C108" s="2">
        <f>'Приборы учета'!G439</f>
        <v>1.25</v>
      </c>
      <c r="D108" s="46">
        <f>'Приборы учета'!E439</f>
        <v>16</v>
      </c>
      <c r="E108" s="2">
        <f t="shared" si="1"/>
        <v>0</v>
      </c>
    </row>
    <row r="109" spans="1:5" x14ac:dyDescent="0.3">
      <c r="A109" s="42" t="str">
        <f>'Приборы учета'!C440</f>
        <v xml:space="preserve">49242169-24   </v>
      </c>
      <c r="B109" s="2">
        <f>'Приборы учета'!F440</f>
        <v>0.46</v>
      </c>
      <c r="C109" s="2">
        <f>'Приборы учета'!G440</f>
        <v>0.46</v>
      </c>
      <c r="D109" s="46">
        <f>'Приборы учета'!E440</f>
        <v>30</v>
      </c>
      <c r="E109" s="2">
        <f t="shared" si="1"/>
        <v>0</v>
      </c>
    </row>
    <row r="110" spans="1:5" x14ac:dyDescent="0.3">
      <c r="A110" s="27" t="str">
        <f>'Приборы учета'!C451</f>
        <v>49242498-24</v>
      </c>
      <c r="B110" s="2">
        <f>'Приборы учета'!F451</f>
        <v>67.5</v>
      </c>
      <c r="C110" s="2">
        <f>'Приборы учета'!G451</f>
        <v>67.5</v>
      </c>
      <c r="D110" s="46">
        <f>'Приборы учета'!E451</f>
        <v>1</v>
      </c>
      <c r="E110" s="2">
        <f t="shared" si="1"/>
        <v>0</v>
      </c>
    </row>
    <row r="111" spans="1:5" x14ac:dyDescent="0.3">
      <c r="A111" s="67">
        <f>'Приборы учета'!C452</f>
        <v>48030489</v>
      </c>
      <c r="B111" s="2">
        <f>'Приборы учета'!F452</f>
        <v>0.61</v>
      </c>
      <c r="C111" s="2">
        <f>'Приборы учета'!G452</f>
        <v>0.64</v>
      </c>
      <c r="D111" s="46">
        <f>'Приборы учета'!E452</f>
        <v>16</v>
      </c>
      <c r="E111" s="2">
        <f t="shared" si="1"/>
        <v>0.48000000000000043</v>
      </c>
    </row>
    <row r="114" spans="1:5" ht="15" thickBot="1" x14ac:dyDescent="0.35"/>
    <row r="115" spans="1:5" ht="15" thickBot="1" x14ac:dyDescent="0.35">
      <c r="A115" s="19" t="s">
        <v>392</v>
      </c>
      <c r="B115" s="54"/>
      <c r="C115" s="54"/>
      <c r="D115" s="49"/>
      <c r="E115" s="82">
        <f>SUM(E2:E111)</f>
        <v>33595.120000000003</v>
      </c>
    </row>
    <row r="116" spans="1:5" x14ac:dyDescent="0.3">
      <c r="E116" s="83"/>
    </row>
    <row r="117" spans="1:5" x14ac:dyDescent="0.3">
      <c r="A117" s="20" t="s">
        <v>361</v>
      </c>
      <c r="B117" s="55"/>
      <c r="C117" s="55"/>
      <c r="D117" s="50"/>
      <c r="E117" s="84">
        <f>SUM(E2:E14)</f>
        <v>7010.48</v>
      </c>
    </row>
    <row r="118" spans="1:5" x14ac:dyDescent="0.3">
      <c r="E118" s="83"/>
    </row>
    <row r="119" spans="1:5" x14ac:dyDescent="0.3">
      <c r="A119" s="20" t="s">
        <v>362</v>
      </c>
      <c r="B119" s="55"/>
      <c r="C119" s="55"/>
      <c r="D119" s="50"/>
      <c r="E119" s="84">
        <f>E16+E22+E25+E33+E39+E41+E44+E47+E48+E51++E55+E56+E58+E61+E62+E65+E66+E68+E70+E71+E74+E76+E77+E79+E82+E89+E90+E94+E96+E111</f>
        <v>26584.639999999999</v>
      </c>
    </row>
    <row r="120" spans="1:5" x14ac:dyDescent="0.3">
      <c r="E120" s="83"/>
    </row>
    <row r="121" spans="1:5" x14ac:dyDescent="0.3">
      <c r="A121" s="22" t="s">
        <v>363</v>
      </c>
      <c r="B121" s="56"/>
      <c r="C121" s="56"/>
      <c r="D121" s="51"/>
      <c r="E121" s="85">
        <f>E117+E119</f>
        <v>33595.119999999995</v>
      </c>
    </row>
    <row r="122" spans="1:5" x14ac:dyDescent="0.3">
      <c r="A122" s="23"/>
      <c r="D122" s="52"/>
      <c r="E122" s="14"/>
    </row>
    <row r="123" spans="1:5" x14ac:dyDescent="0.3">
      <c r="A123" s="23" t="s">
        <v>364</v>
      </c>
      <c r="D123" s="52"/>
      <c r="E123" s="14">
        <f>E115-E121</f>
        <v>0</v>
      </c>
    </row>
  </sheetData>
  <conditionalFormatting sqref="D117:E123">
    <cfRule type="cellIs" dxfId="6" priority="3" operator="lessThan">
      <formula>0</formula>
    </cfRule>
  </conditionalFormatting>
  <conditionalFormatting sqref="E2:E104857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6113-239F-47E3-BDCE-C9EE9BB62CAE}">
  <sheetPr>
    <pageSetUpPr fitToPage="1"/>
  </sheetPr>
  <dimension ref="A1:D185"/>
  <sheetViews>
    <sheetView topLeftCell="A135" zoomScaleNormal="100" zoomScaleSheetLayoutView="115" workbookViewId="0">
      <selection activeCell="B191" sqref="B191"/>
    </sheetView>
  </sheetViews>
  <sheetFormatPr defaultRowHeight="14.4" x14ac:dyDescent="0.3"/>
  <cols>
    <col min="1" max="1" width="43.6640625" customWidth="1"/>
    <col min="2" max="3" width="21.6640625" style="43" customWidth="1"/>
    <col min="4" max="4" width="18.6640625" style="43" customWidth="1"/>
  </cols>
  <sheetData>
    <row r="1" spans="1:4" ht="28.8" x14ac:dyDescent="0.3">
      <c r="A1" s="7" t="s">
        <v>2</v>
      </c>
      <c r="B1" s="53" t="s">
        <v>252</v>
      </c>
      <c r="C1" s="57" t="s">
        <v>253</v>
      </c>
      <c r="D1" s="57" t="s">
        <v>256</v>
      </c>
    </row>
    <row r="2" spans="1:4" x14ac:dyDescent="0.3">
      <c r="A2" s="4" t="str">
        <f>'Приборы учета'!$C$2</f>
        <v>23_11081511</v>
      </c>
      <c r="B2" s="2">
        <f>'Приборы учета'!$F$2</f>
        <v>1.2410000000000001</v>
      </c>
      <c r="C2" s="2">
        <f>'Приборы учета'!$G$2</f>
        <v>1.8819999999999999</v>
      </c>
      <c r="D2" s="2">
        <f>C2-B2</f>
        <v>0.64099999999999979</v>
      </c>
    </row>
    <row r="3" spans="1:4" x14ac:dyDescent="0.3">
      <c r="A3" s="4" t="str">
        <f>'Приборы учета'!$C$5</f>
        <v>25_15402002</v>
      </c>
      <c r="B3" s="2">
        <f>'Приборы учета'!$F$5</f>
        <v>0.215</v>
      </c>
      <c r="C3" s="2">
        <f>'Приборы учета'!$G$5</f>
        <v>0.215</v>
      </c>
      <c r="D3" s="2">
        <f t="shared" ref="D3:D65" si="0">C3-B3</f>
        <v>0</v>
      </c>
    </row>
    <row r="4" spans="1:4" x14ac:dyDescent="0.3">
      <c r="A4" s="4">
        <f>'Приборы учета'!$C$8</f>
        <v>10960076</v>
      </c>
      <c r="B4" s="2">
        <f>'Приборы учета'!$F$8</f>
        <v>0.01</v>
      </c>
      <c r="C4" s="2">
        <f>'Приборы учета'!$G$8</f>
        <v>16.748000000000001</v>
      </c>
      <c r="D4" s="2">
        <f t="shared" si="0"/>
        <v>16.738</v>
      </c>
    </row>
    <row r="5" spans="1:4" x14ac:dyDescent="0.3">
      <c r="A5" s="4" t="str">
        <f>'Приборы учета'!$C$11</f>
        <v>25_15145897</v>
      </c>
      <c r="B5" s="2">
        <f>'Приборы учета'!$F$11</f>
        <v>4.8970000000000002</v>
      </c>
      <c r="C5" s="2">
        <f>'Приборы учета'!$G$11</f>
        <v>5.5289999999999999</v>
      </c>
      <c r="D5" s="2">
        <f t="shared" si="0"/>
        <v>0.63199999999999967</v>
      </c>
    </row>
    <row r="6" spans="1:4" x14ac:dyDescent="0.3">
      <c r="A6" s="4" t="str">
        <f>'Приборы учета'!$C$15</f>
        <v>25_15238052</v>
      </c>
      <c r="B6" s="2">
        <f>'Приборы учета'!$F$15</f>
        <v>3.496</v>
      </c>
      <c r="C6" s="2">
        <f>'Приборы учета'!$G$15</f>
        <v>3.681</v>
      </c>
      <c r="D6" s="2">
        <f t="shared" si="0"/>
        <v>0.18500000000000005</v>
      </c>
    </row>
    <row r="7" spans="1:4" x14ac:dyDescent="0.3">
      <c r="A7" s="4">
        <f>'Приборы учета'!$C$18</f>
        <v>11081526</v>
      </c>
      <c r="B7" s="2">
        <f>'Приборы учета'!$F$18</f>
        <v>0.04</v>
      </c>
      <c r="C7" s="2">
        <f>'Приборы учета'!$G$18</f>
        <v>0.04</v>
      </c>
      <c r="D7" s="2">
        <f t="shared" si="0"/>
        <v>0</v>
      </c>
    </row>
    <row r="8" spans="1:4" x14ac:dyDescent="0.3">
      <c r="A8" s="4" t="str">
        <f>'Приборы учета'!$C$22</f>
        <v>23_09540666</v>
      </c>
      <c r="B8" s="2">
        <f>'Приборы учета'!$F$22</f>
        <v>9.234</v>
      </c>
      <c r="C8" s="2">
        <f>'Приборы учета'!$G$22</f>
        <v>10.920999999999999</v>
      </c>
      <c r="D8" s="2">
        <f t="shared" si="0"/>
        <v>1.6869999999999994</v>
      </c>
    </row>
    <row r="9" spans="1:4" x14ac:dyDescent="0.3">
      <c r="A9" s="4" t="str">
        <f>'Приборы учета'!$C$25</f>
        <v>25_15141424</v>
      </c>
      <c r="B9" s="2">
        <f>'Приборы учета'!$F$25</f>
        <v>1.34</v>
      </c>
      <c r="C9" s="2">
        <f>'Приборы учета'!$G$25</f>
        <v>1.34</v>
      </c>
      <c r="D9" s="2">
        <f t="shared" si="0"/>
        <v>0</v>
      </c>
    </row>
    <row r="10" spans="1:4" x14ac:dyDescent="0.3">
      <c r="A10" s="4" t="str">
        <f>'Приборы учета'!$C$29</f>
        <v>25_15238042</v>
      </c>
      <c r="B10" s="2">
        <f>'Приборы учета'!$F$29</f>
        <v>0.377</v>
      </c>
      <c r="C10" s="2">
        <f>'Приборы учета'!$G$29</f>
        <v>0.377</v>
      </c>
      <c r="D10" s="2">
        <f t="shared" si="0"/>
        <v>0</v>
      </c>
    </row>
    <row r="11" spans="1:4" x14ac:dyDescent="0.3">
      <c r="A11" s="4">
        <f>'Приборы учета'!$C$32</f>
        <v>11573565</v>
      </c>
      <c r="B11" s="2">
        <f>'Приборы учета'!$F$32</f>
        <v>0</v>
      </c>
      <c r="C11" s="2">
        <f>'Приборы учета'!$G$32</f>
        <v>0</v>
      </c>
      <c r="D11" s="2">
        <f t="shared" si="0"/>
        <v>0</v>
      </c>
    </row>
    <row r="12" spans="1:4" x14ac:dyDescent="0.3">
      <c r="A12" s="4" t="str">
        <f>'Приборы учета'!$C$35</f>
        <v>23_10968075</v>
      </c>
      <c r="B12" s="2">
        <f>'Приборы учета'!$F$35</f>
        <v>1.33</v>
      </c>
      <c r="C12" s="2">
        <f>'Приборы учета'!$G$35</f>
        <v>2.577</v>
      </c>
      <c r="D12" s="2">
        <f t="shared" si="0"/>
        <v>1.2469999999999999</v>
      </c>
    </row>
    <row r="13" spans="1:4" x14ac:dyDescent="0.3">
      <c r="A13" s="4" t="str">
        <f>'Приборы учета'!$C$38</f>
        <v>23_10971265</v>
      </c>
      <c r="B13" s="2">
        <f>'Приборы учета'!$F$38</f>
        <v>3.9E-2</v>
      </c>
      <c r="C13" s="2">
        <f>'Приборы учета'!$G$38</f>
        <v>3.9E-2</v>
      </c>
      <c r="D13" s="2">
        <f t="shared" si="0"/>
        <v>0</v>
      </c>
    </row>
    <row r="14" spans="1:4" x14ac:dyDescent="0.3">
      <c r="A14" s="4" t="str">
        <f>'Приборы учета'!$C$41</f>
        <v>23_10971258</v>
      </c>
      <c r="B14" s="2">
        <f>'Приборы учета'!$F$41</f>
        <v>0.108</v>
      </c>
      <c r="C14" s="2">
        <f>'Приборы учета'!$G$41</f>
        <v>0.108</v>
      </c>
      <c r="D14" s="2">
        <f t="shared" si="0"/>
        <v>0</v>
      </c>
    </row>
    <row r="15" spans="1:4" x14ac:dyDescent="0.3">
      <c r="A15" s="4" t="str">
        <f>'Приборы учета'!$C$44</f>
        <v>23_10968018</v>
      </c>
      <c r="B15" s="2">
        <f>'Приборы учета'!$F$44</f>
        <v>8.9999999999999993E-3</v>
      </c>
      <c r="C15" s="2">
        <f>'Приборы учета'!$G$44</f>
        <v>8.9999999999999993E-3</v>
      </c>
      <c r="D15" s="2">
        <f t="shared" si="0"/>
        <v>0</v>
      </c>
    </row>
    <row r="16" spans="1:4" x14ac:dyDescent="0.3">
      <c r="A16" s="4" t="str">
        <f>'Приборы учета'!$C$47</f>
        <v>23_11039674</v>
      </c>
      <c r="B16" s="2">
        <f>'Приборы учета'!$F$47</f>
        <v>38.22</v>
      </c>
      <c r="C16" s="2">
        <f>'Приборы учета'!$G$47</f>
        <v>38.22</v>
      </c>
      <c r="D16" s="2">
        <f t="shared" si="0"/>
        <v>0</v>
      </c>
    </row>
    <row r="17" spans="1:4" x14ac:dyDescent="0.3">
      <c r="A17" s="4" t="str">
        <f>'Приборы учета'!$C$50</f>
        <v>23_10971112</v>
      </c>
      <c r="B17" s="2">
        <f>'Приборы учета'!$F$50</f>
        <v>4.0000000000000001E-3</v>
      </c>
      <c r="C17" s="2">
        <f>'Приборы учета'!$G$50</f>
        <v>4.0000000000000001E-3</v>
      </c>
      <c r="D17" s="2">
        <f t="shared" si="0"/>
        <v>0</v>
      </c>
    </row>
    <row r="18" spans="1:4" x14ac:dyDescent="0.3">
      <c r="A18" s="4">
        <f>'Приборы учета'!$C$53</f>
        <v>11039489</v>
      </c>
      <c r="B18" s="2">
        <f>'Приборы учета'!$F$53</f>
        <v>0.224</v>
      </c>
      <c r="C18" s="2">
        <f>'Приборы учета'!$G$53</f>
        <v>6.28</v>
      </c>
      <c r="D18" s="2">
        <f t="shared" si="0"/>
        <v>6.056</v>
      </c>
    </row>
    <row r="19" spans="1:4" x14ac:dyDescent="0.3">
      <c r="A19" s="4">
        <f>'Приборы учета'!$C$56</f>
        <v>11039677</v>
      </c>
      <c r="B19" s="2">
        <f>'Приборы учета'!$F$56</f>
        <v>4.3999999999999997E-2</v>
      </c>
      <c r="C19" s="2">
        <f>'Приборы учета'!$G$56</f>
        <v>4.3999999999999997E-2</v>
      </c>
      <c r="D19" s="2">
        <f t="shared" si="0"/>
        <v>0</v>
      </c>
    </row>
    <row r="20" spans="1:4" x14ac:dyDescent="0.3">
      <c r="A20" s="4">
        <f>'Приборы учета'!$C$59</f>
        <v>11081562</v>
      </c>
      <c r="B20" s="2">
        <f>'Приборы учета'!$F$59</f>
        <v>0.01</v>
      </c>
      <c r="C20" s="2">
        <f>'Приборы учета'!$G$59</f>
        <v>0.01</v>
      </c>
      <c r="D20" s="2">
        <f t="shared" si="0"/>
        <v>0</v>
      </c>
    </row>
    <row r="21" spans="1:4" x14ac:dyDescent="0.3">
      <c r="A21" s="4">
        <f>'Приборы учета'!$C$62</f>
        <v>10970954</v>
      </c>
      <c r="B21" s="2">
        <f>'Приборы учета'!$F$62</f>
        <v>8.9999999999999993E-3</v>
      </c>
      <c r="C21" s="2">
        <f>'Приборы учета'!$G$62</f>
        <v>3.109</v>
      </c>
      <c r="D21" s="2">
        <f t="shared" si="0"/>
        <v>3.1</v>
      </c>
    </row>
    <row r="22" spans="1:4" x14ac:dyDescent="0.3">
      <c r="A22" s="4">
        <f>'Приборы учета'!$C$65</f>
        <v>10966621</v>
      </c>
      <c r="B22" s="2">
        <f>'Приборы учета'!$F$65</f>
        <v>0.17</v>
      </c>
      <c r="C22" s="2">
        <f>'Приборы учета'!$G$65</f>
        <v>0.17</v>
      </c>
      <c r="D22" s="2">
        <f t="shared" si="0"/>
        <v>0</v>
      </c>
    </row>
    <row r="23" spans="1:4" x14ac:dyDescent="0.3">
      <c r="A23" s="4">
        <f>'Приборы учета'!$C$68</f>
        <v>10967350</v>
      </c>
      <c r="B23" s="2">
        <f>'Приборы учета'!$F$68</f>
        <v>0.21</v>
      </c>
      <c r="C23" s="2">
        <f>'Приборы учета'!$G$68</f>
        <v>0.21</v>
      </c>
      <c r="D23" s="2">
        <f t="shared" si="0"/>
        <v>0</v>
      </c>
    </row>
    <row r="24" spans="1:4" x14ac:dyDescent="0.3">
      <c r="A24" s="4">
        <f>'Приборы учета'!$C$71</f>
        <v>11466468</v>
      </c>
      <c r="B24" s="2">
        <f>'Приборы учета'!$F$71</f>
        <v>0.01</v>
      </c>
      <c r="C24" s="2">
        <f>'Приборы учета'!$G$71</f>
        <v>0.01</v>
      </c>
      <c r="D24" s="2">
        <f t="shared" si="0"/>
        <v>0</v>
      </c>
    </row>
    <row r="25" spans="1:4" x14ac:dyDescent="0.3">
      <c r="A25" s="4">
        <f>'Приборы учета'!$C$74</f>
        <v>11467006</v>
      </c>
      <c r="B25" s="2">
        <f>'Приборы учета'!$F$74</f>
        <v>0.55400000000000005</v>
      </c>
      <c r="C25" s="2">
        <f>'Приборы учета'!$G$74</f>
        <v>0.55400000000000005</v>
      </c>
      <c r="D25" s="2">
        <f t="shared" si="0"/>
        <v>0</v>
      </c>
    </row>
    <row r="26" spans="1:4" x14ac:dyDescent="0.3">
      <c r="A26" s="4">
        <f>'Приборы учета'!$C$77</f>
        <v>10968110</v>
      </c>
      <c r="B26" s="2">
        <f>'Приборы учета'!$F$77</f>
        <v>0.18</v>
      </c>
      <c r="C26" s="2">
        <f>'Приборы учета'!$G$77</f>
        <v>0.18</v>
      </c>
      <c r="D26" s="2">
        <f t="shared" si="0"/>
        <v>0</v>
      </c>
    </row>
    <row r="27" spans="1:4" x14ac:dyDescent="0.3">
      <c r="A27" s="4">
        <f>'Приборы учета'!$C$80</f>
        <v>11466755</v>
      </c>
      <c r="B27" s="2">
        <f>'Приборы учета'!$F$80</f>
        <v>0.69</v>
      </c>
      <c r="C27" s="2">
        <f>'Приборы учета'!$G$80</f>
        <v>0.69</v>
      </c>
      <c r="D27" s="2">
        <f t="shared" si="0"/>
        <v>0</v>
      </c>
    </row>
    <row r="28" spans="1:4" x14ac:dyDescent="0.3">
      <c r="A28" s="4">
        <f>'Приборы учета'!$C$83</f>
        <v>11466211</v>
      </c>
      <c r="B28" s="2">
        <f>'Приборы учета'!$F$83</f>
        <v>0.01</v>
      </c>
      <c r="C28" s="2">
        <f>'Приборы учета'!$G$83</f>
        <v>0.01</v>
      </c>
      <c r="D28" s="2">
        <f t="shared" si="0"/>
        <v>0</v>
      </c>
    </row>
    <row r="29" spans="1:4" x14ac:dyDescent="0.3">
      <c r="A29" s="4">
        <f>'Приборы учета'!$C$86</f>
        <v>11467281</v>
      </c>
      <c r="B29" s="2">
        <f>'Приборы учета'!$F$86</f>
        <v>0.1</v>
      </c>
      <c r="C29" s="2">
        <f>'Приборы учета'!$G$86</f>
        <v>0.1</v>
      </c>
      <c r="D29" s="2">
        <f t="shared" si="0"/>
        <v>0</v>
      </c>
    </row>
    <row r="30" spans="1:4" x14ac:dyDescent="0.3">
      <c r="A30" s="4">
        <f>'Приборы учета'!$C$89</f>
        <v>11466808</v>
      </c>
      <c r="B30" s="2">
        <f>'Приборы учета'!$F$89</f>
        <v>0.13</v>
      </c>
      <c r="C30" s="2">
        <f>'Приборы учета'!$G$89</f>
        <v>0.13</v>
      </c>
      <c r="D30" s="2">
        <f t="shared" si="0"/>
        <v>0</v>
      </c>
    </row>
    <row r="31" spans="1:4" x14ac:dyDescent="0.3">
      <c r="A31" s="4">
        <f>'Приборы учета'!$C$92</f>
        <v>11466273</v>
      </c>
      <c r="B31" s="2">
        <f>'Приборы учета'!$F$92</f>
        <v>76.7</v>
      </c>
      <c r="C31" s="2">
        <f>'Приборы учета'!$G$92</f>
        <v>76.7</v>
      </c>
      <c r="D31" s="2">
        <f t="shared" si="0"/>
        <v>0</v>
      </c>
    </row>
    <row r="32" spans="1:4" x14ac:dyDescent="0.3">
      <c r="A32" s="4">
        <f>'Приборы учета'!$C$95</f>
        <v>11466271</v>
      </c>
      <c r="B32" s="2">
        <f>'Приборы учета'!$F$95</f>
        <v>0.26</v>
      </c>
      <c r="C32" s="2">
        <f>'Приборы учета'!$G$95</f>
        <v>0.26</v>
      </c>
      <c r="D32" s="2">
        <f t="shared" si="0"/>
        <v>0</v>
      </c>
    </row>
    <row r="33" spans="1:4" x14ac:dyDescent="0.3">
      <c r="A33" s="4">
        <f>'Приборы учета'!$C$98</f>
        <v>10967379</v>
      </c>
      <c r="B33" s="2">
        <f>'Приборы учета'!$F$98</f>
        <v>4.4999999999999998E-2</v>
      </c>
      <c r="C33" s="2">
        <f>'Приборы учета'!$G$98</f>
        <v>4.4999999999999998E-2</v>
      </c>
      <c r="D33" s="2">
        <f t="shared" si="0"/>
        <v>0</v>
      </c>
    </row>
    <row r="34" spans="1:4" x14ac:dyDescent="0.3">
      <c r="A34" s="4">
        <f>'Приборы учета'!$C$101</f>
        <v>11466271</v>
      </c>
      <c r="B34" s="2">
        <f>'Приборы учета'!$F$101</f>
        <v>0.42</v>
      </c>
      <c r="C34" s="2">
        <f>'Приборы учета'!$G$101</f>
        <v>0.42</v>
      </c>
      <c r="D34" s="2">
        <f t="shared" si="0"/>
        <v>0</v>
      </c>
    </row>
    <row r="35" spans="1:4" x14ac:dyDescent="0.3">
      <c r="A35" s="4">
        <f>'Приборы учета'!$C$104</f>
        <v>10970926</v>
      </c>
      <c r="B35" s="2">
        <f>'Приборы учета'!$F$104</f>
        <v>6.53</v>
      </c>
      <c r="C35" s="2">
        <f>'Приборы учета'!$G$104</f>
        <v>9.4190000000000005</v>
      </c>
      <c r="D35" s="2">
        <f t="shared" si="0"/>
        <v>2.8890000000000002</v>
      </c>
    </row>
    <row r="36" spans="1:4" x14ac:dyDescent="0.3">
      <c r="A36" s="4">
        <f>'Приборы учета'!$C$107</f>
        <v>12182321</v>
      </c>
      <c r="B36" s="2">
        <f>'Приборы учета'!$F$107</f>
        <v>1.9E-2</v>
      </c>
      <c r="C36" s="2">
        <f>'Приборы учета'!$G$107</f>
        <v>1.9E-2</v>
      </c>
      <c r="D36" s="2">
        <f t="shared" si="0"/>
        <v>0</v>
      </c>
    </row>
    <row r="37" spans="1:4" x14ac:dyDescent="0.3">
      <c r="A37" s="4">
        <f>'Приборы учета'!$C$110</f>
        <v>10969059</v>
      </c>
      <c r="B37" s="2">
        <f>'Приборы учета'!$F$110</f>
        <v>0</v>
      </c>
      <c r="C37" s="2">
        <f>'Приборы учета'!$G$110</f>
        <v>0</v>
      </c>
      <c r="D37" s="2">
        <f t="shared" si="0"/>
        <v>0</v>
      </c>
    </row>
    <row r="38" spans="1:4" x14ac:dyDescent="0.3">
      <c r="A38" s="4">
        <f>'Приборы учета'!$C$113</f>
        <v>10971175</v>
      </c>
      <c r="B38" s="2">
        <f>'Приборы учета'!$F$113</f>
        <v>0.22</v>
      </c>
      <c r="C38" s="2">
        <f>'Приборы учета'!$G$113</f>
        <v>0.22</v>
      </c>
      <c r="D38" s="2">
        <f t="shared" si="0"/>
        <v>0</v>
      </c>
    </row>
    <row r="39" spans="1:4" x14ac:dyDescent="0.3">
      <c r="A39" s="4">
        <f>'Приборы учета'!$C$116</f>
        <v>10971557</v>
      </c>
      <c r="B39" s="2">
        <f>'Приборы учета'!$F$116</f>
        <v>1.27</v>
      </c>
      <c r="C39" s="2">
        <f>'Приборы учета'!$G$116</f>
        <v>1.27</v>
      </c>
      <c r="D39" s="2">
        <f t="shared" si="0"/>
        <v>0</v>
      </c>
    </row>
    <row r="40" spans="1:4" x14ac:dyDescent="0.3">
      <c r="A40" s="4">
        <f>'Приборы учета'!$C$119</f>
        <v>10971296</v>
      </c>
      <c r="B40" s="2">
        <f>'Приборы учета'!$F$119</f>
        <v>0.51400000000000001</v>
      </c>
      <c r="C40" s="2">
        <f>'Приборы учета'!$G$119</f>
        <v>0.51400000000000001</v>
      </c>
      <c r="D40" s="2">
        <f t="shared" si="0"/>
        <v>0</v>
      </c>
    </row>
    <row r="41" spans="1:4" x14ac:dyDescent="0.3">
      <c r="A41" s="4">
        <f>'Приборы учета'!$C$122</f>
        <v>10972487</v>
      </c>
      <c r="B41" s="2">
        <f>'Приборы учета'!$F$122</f>
        <v>0.28000000000000003</v>
      </c>
      <c r="C41" s="2">
        <f>'Приборы учета'!$G$122</f>
        <v>0.28000000000000003</v>
      </c>
      <c r="D41" s="2">
        <f t="shared" si="0"/>
        <v>0</v>
      </c>
    </row>
    <row r="42" spans="1:4" x14ac:dyDescent="0.3">
      <c r="A42" s="4">
        <f>'Приборы учета'!$C$125</f>
        <v>10966660</v>
      </c>
      <c r="B42" s="2">
        <f>'Приборы учета'!$F$125</f>
        <v>1.4E-2</v>
      </c>
      <c r="C42" s="2">
        <f>'Приборы учета'!$G$125</f>
        <v>1.4E-2</v>
      </c>
      <c r="D42" s="2">
        <f t="shared" si="0"/>
        <v>0</v>
      </c>
    </row>
    <row r="43" spans="1:4" x14ac:dyDescent="0.3">
      <c r="A43" s="4">
        <f>'Приборы учета'!$C$128</f>
        <v>10970885</v>
      </c>
      <c r="B43" s="2">
        <f>'Приборы учета'!$F$128</f>
        <v>0.13</v>
      </c>
      <c r="C43" s="2">
        <f>'Приборы учета'!$G$128</f>
        <v>2.1019999999999999</v>
      </c>
      <c r="D43" s="2">
        <f t="shared" si="0"/>
        <v>1.972</v>
      </c>
    </row>
    <row r="44" spans="1:4" x14ac:dyDescent="0.3">
      <c r="A44" s="4">
        <f>'Приборы учета'!$C$131</f>
        <v>10971209</v>
      </c>
      <c r="B44" s="2">
        <f>'Приборы учета'!$F$131</f>
        <v>0.9</v>
      </c>
      <c r="C44" s="2">
        <f>'Приборы учета'!$G$131</f>
        <v>0.9</v>
      </c>
      <c r="D44" s="2">
        <f t="shared" si="0"/>
        <v>0</v>
      </c>
    </row>
    <row r="45" spans="1:4" x14ac:dyDescent="0.3">
      <c r="A45" s="4">
        <f>'Приборы учета'!$C$134</f>
        <v>10972490</v>
      </c>
      <c r="B45" s="2">
        <f>'Приборы учета'!$F$134</f>
        <v>0.37</v>
      </c>
      <c r="C45" s="2">
        <f>'Приборы учета'!$G$134</f>
        <v>0.37</v>
      </c>
      <c r="D45" s="2">
        <f t="shared" si="0"/>
        <v>0</v>
      </c>
    </row>
    <row r="46" spans="1:4" x14ac:dyDescent="0.3">
      <c r="A46" s="4">
        <f>'Приборы учета'!$C$137</f>
        <v>10968101</v>
      </c>
      <c r="B46" s="2">
        <f>'Приборы учета'!$F$137</f>
        <v>6.9000000000000006E-2</v>
      </c>
      <c r="C46" s="2">
        <f>'Приборы учета'!$G$137</f>
        <v>6.9000000000000006E-2</v>
      </c>
      <c r="D46" s="2">
        <f t="shared" si="0"/>
        <v>0</v>
      </c>
    </row>
    <row r="47" spans="1:4" x14ac:dyDescent="0.3">
      <c r="A47" s="4">
        <f>'Приборы учета'!$C$140</f>
        <v>10971780</v>
      </c>
      <c r="B47" s="2">
        <f>'Приборы учета'!$F$140</f>
        <v>3.2040000000000002</v>
      </c>
      <c r="C47" s="2">
        <f>'Приборы учета'!$G$140</f>
        <v>8.18</v>
      </c>
      <c r="D47" s="2">
        <f t="shared" si="0"/>
        <v>4.9759999999999991</v>
      </c>
    </row>
    <row r="48" spans="1:4" x14ac:dyDescent="0.3">
      <c r="A48" s="4">
        <f>'Приборы учета'!$C$143</f>
        <v>10971929</v>
      </c>
      <c r="B48" s="2">
        <f>'Приборы учета'!$F$143</f>
        <v>0.17100000000000001</v>
      </c>
      <c r="C48" s="2">
        <f>'Приборы учета'!$G$143</f>
        <v>0.17100000000000001</v>
      </c>
      <c r="D48" s="2">
        <f t="shared" si="0"/>
        <v>0</v>
      </c>
    </row>
    <row r="49" spans="1:4" x14ac:dyDescent="0.3">
      <c r="A49" s="4">
        <f>'Приборы учета'!$C$146</f>
        <v>10970517</v>
      </c>
      <c r="B49" s="2">
        <f>'Приборы учета'!$F$146</f>
        <v>0.7</v>
      </c>
      <c r="C49" s="2">
        <f>'Приборы учета'!$G$146</f>
        <v>0.7</v>
      </c>
      <c r="D49" s="2">
        <f t="shared" si="0"/>
        <v>0</v>
      </c>
    </row>
    <row r="50" spans="1:4" x14ac:dyDescent="0.3">
      <c r="A50" s="4">
        <f>'Приборы учета'!$C$149</f>
        <v>10969708</v>
      </c>
      <c r="B50" s="2">
        <f>'Приборы учета'!$F$149</f>
        <v>0.09</v>
      </c>
      <c r="C50" s="2">
        <f>'Приборы учета'!$G$149</f>
        <v>0.09</v>
      </c>
      <c r="D50" s="2">
        <f t="shared" si="0"/>
        <v>0</v>
      </c>
    </row>
    <row r="51" spans="1:4" x14ac:dyDescent="0.3">
      <c r="A51" s="4">
        <f>'Приборы учета'!$C$152</f>
        <v>10971779</v>
      </c>
      <c r="B51" s="2">
        <f>'Приборы учета'!$F$152</f>
        <v>3.29</v>
      </c>
      <c r="C51" s="3">
        <f>'Приборы учета'!$G$152</f>
        <v>5.6539999999999999</v>
      </c>
      <c r="D51" s="2">
        <f t="shared" si="0"/>
        <v>2.3639999999999999</v>
      </c>
    </row>
    <row r="52" spans="1:4" x14ac:dyDescent="0.3">
      <c r="A52" s="4">
        <f>'Приборы учета'!$C$155</f>
        <v>10968405</v>
      </c>
      <c r="B52" s="3">
        <f>'Приборы учета'!$F$155</f>
        <v>3.85</v>
      </c>
      <c r="C52" s="3">
        <f>'Приборы учета'!$G$155</f>
        <v>5.5339999999999998</v>
      </c>
      <c r="D52" s="2">
        <f t="shared" si="0"/>
        <v>1.6839999999999997</v>
      </c>
    </row>
    <row r="53" spans="1:4" x14ac:dyDescent="0.3">
      <c r="A53" s="4">
        <f>'Приборы учета'!$C$158</f>
        <v>10968104</v>
      </c>
      <c r="B53" s="3">
        <f>'Приборы учета'!$F$158</f>
        <v>7.3090000000000002</v>
      </c>
      <c r="C53" s="3">
        <f>'Приборы учета'!$G$158</f>
        <v>7.3090000000000002</v>
      </c>
      <c r="D53" s="2">
        <f t="shared" si="0"/>
        <v>0</v>
      </c>
    </row>
    <row r="54" spans="1:4" x14ac:dyDescent="0.3">
      <c r="A54" s="4">
        <f>'Приборы учета'!$C$161</f>
        <v>11466861</v>
      </c>
      <c r="B54" s="3">
        <f>'Приборы учета'!$F$161</f>
        <v>2.6379999999999999</v>
      </c>
      <c r="C54" s="3">
        <f>'Приборы учета'!$G$161</f>
        <v>3.09</v>
      </c>
      <c r="D54" s="2">
        <f t="shared" si="0"/>
        <v>0.45199999999999996</v>
      </c>
    </row>
    <row r="55" spans="1:4" x14ac:dyDescent="0.3">
      <c r="A55" s="4">
        <f>'Приборы учета'!$C$164</f>
        <v>10971797</v>
      </c>
      <c r="B55" s="2">
        <f>'Приборы учета'!$F$164</f>
        <v>0.01</v>
      </c>
      <c r="C55" s="3">
        <f>'Приборы учета'!$G$164</f>
        <v>0.01</v>
      </c>
      <c r="D55" s="2">
        <f t="shared" si="0"/>
        <v>0</v>
      </c>
    </row>
    <row r="56" spans="1:4" x14ac:dyDescent="0.3">
      <c r="A56" s="4">
        <f>'Приборы учета'!$C$167</f>
        <v>10972565</v>
      </c>
      <c r="B56" s="3">
        <f>'Приборы учета'!$F$167</f>
        <v>0.25</v>
      </c>
      <c r="C56" s="3">
        <f>'Приборы учета'!$G$167</f>
        <v>0.25</v>
      </c>
      <c r="D56" s="2">
        <f t="shared" si="0"/>
        <v>0</v>
      </c>
    </row>
    <row r="57" spans="1:4" x14ac:dyDescent="0.3">
      <c r="A57" s="4">
        <f>'Приборы учета'!$C$170</f>
        <v>11466848</v>
      </c>
      <c r="B57" s="3">
        <f>'Приборы учета'!$F$170</f>
        <v>34.064999999999998</v>
      </c>
      <c r="C57" s="3">
        <f>'Приборы учета'!$G$170</f>
        <v>52.167999999999999</v>
      </c>
      <c r="D57" s="2">
        <f t="shared" si="0"/>
        <v>18.103000000000002</v>
      </c>
    </row>
    <row r="58" spans="1:4" x14ac:dyDescent="0.3">
      <c r="A58" s="4" t="str">
        <f>'Приборы учета'!$C$173</f>
        <v>23_11466674</v>
      </c>
      <c r="B58" s="3">
        <f>'Приборы учета'!$F$173</f>
        <v>17.946999999999999</v>
      </c>
      <c r="C58" s="3">
        <f>'Приборы учета'!$G$173</f>
        <v>45.451999999999998</v>
      </c>
      <c r="D58" s="2">
        <f t="shared" si="0"/>
        <v>27.504999999999999</v>
      </c>
    </row>
    <row r="59" spans="1:4" x14ac:dyDescent="0.3">
      <c r="A59" s="4">
        <f>'Приборы учета'!C176</f>
        <v>11466657</v>
      </c>
      <c r="B59" s="3">
        <f>'Приборы учета'!F176</f>
        <v>182.08</v>
      </c>
      <c r="C59" s="3">
        <f>'Приборы учета'!G176</f>
        <v>182.08</v>
      </c>
      <c r="D59" s="2">
        <f t="shared" si="0"/>
        <v>0</v>
      </c>
    </row>
    <row r="60" spans="1:4" x14ac:dyDescent="0.3">
      <c r="A60" s="4">
        <f>'Приборы учета'!C177</f>
        <v>11466742</v>
      </c>
      <c r="B60" s="3">
        <f>'Приборы учета'!F177</f>
        <v>7.1999999999999995E-2</v>
      </c>
      <c r="C60" s="3">
        <f>'Приборы учета'!G177</f>
        <v>7.1999999999999995E-2</v>
      </c>
      <c r="D60" s="2">
        <f t="shared" si="0"/>
        <v>0</v>
      </c>
    </row>
    <row r="61" spans="1:4" x14ac:dyDescent="0.3">
      <c r="A61" s="4">
        <f>'Приборы учета'!C178</f>
        <v>11466934</v>
      </c>
      <c r="B61" s="3">
        <f>'Приборы учета'!F178</f>
        <v>4.2000000000000003E-2</v>
      </c>
      <c r="C61" s="3">
        <f>'Приборы учета'!G178</f>
        <v>4.2000000000000003E-2</v>
      </c>
      <c r="D61" s="2">
        <f t="shared" si="0"/>
        <v>0</v>
      </c>
    </row>
    <row r="62" spans="1:4" x14ac:dyDescent="0.3">
      <c r="A62" s="4">
        <f>'Приборы учета'!C179</f>
        <v>10971489</v>
      </c>
      <c r="B62" s="3">
        <f>'Приборы учета'!F179</f>
        <v>0.74099999999999999</v>
      </c>
      <c r="C62" s="3">
        <f>'Приборы учета'!G179</f>
        <v>0.74099999999999999</v>
      </c>
      <c r="D62" s="2">
        <f t="shared" si="0"/>
        <v>0</v>
      </c>
    </row>
    <row r="63" spans="1:4" x14ac:dyDescent="0.3">
      <c r="A63" s="4">
        <f>'Приборы учета'!C180</f>
        <v>10971173</v>
      </c>
      <c r="B63" s="3">
        <f>'Приборы учета'!F180</f>
        <v>0.89800000000000002</v>
      </c>
      <c r="C63" s="3">
        <f>'Приборы учета'!G180</f>
        <v>0.89800000000000002</v>
      </c>
      <c r="D63" s="2">
        <f t="shared" si="0"/>
        <v>0</v>
      </c>
    </row>
    <row r="64" spans="1:4" x14ac:dyDescent="0.3">
      <c r="A64" s="4">
        <f>'Приборы учета'!C188</f>
        <v>11466798</v>
      </c>
      <c r="B64" s="3">
        <f>'Приборы учета'!F188</f>
        <v>9.0999999999999998E-2</v>
      </c>
      <c r="C64" s="3">
        <f>'Приборы учета'!G188</f>
        <v>9.0999999999999998E-2</v>
      </c>
      <c r="D64" s="2">
        <f t="shared" si="0"/>
        <v>0</v>
      </c>
    </row>
    <row r="65" spans="1:4" x14ac:dyDescent="0.3">
      <c r="A65" s="4">
        <f>'Приборы учета'!C189</f>
        <v>11466926</v>
      </c>
      <c r="B65" s="3">
        <f>'Приборы учета'!F189</f>
        <v>3.9E-2</v>
      </c>
      <c r="C65" s="3">
        <f>'Приборы учета'!G189</f>
        <v>3.9E-2</v>
      </c>
      <c r="D65" s="2">
        <f t="shared" si="0"/>
        <v>0</v>
      </c>
    </row>
    <row r="66" spans="1:4" x14ac:dyDescent="0.3">
      <c r="A66" s="4">
        <f>'Приборы учета'!C190</f>
        <v>11466748</v>
      </c>
      <c r="B66" s="3">
        <f>'Приборы учета'!F190</f>
        <v>4.3999999999999997E-2</v>
      </c>
      <c r="C66" s="3">
        <f>'Приборы учета'!G190</f>
        <v>4.3999999999999997E-2</v>
      </c>
      <c r="D66" s="2">
        <f t="shared" ref="D66:D129" si="1">C66-B66</f>
        <v>0</v>
      </c>
    </row>
    <row r="67" spans="1:4" x14ac:dyDescent="0.3">
      <c r="A67" s="4">
        <f>'Приборы учета'!C191</f>
        <v>10972574</v>
      </c>
      <c r="B67" s="3">
        <f>'Приборы учета'!F191</f>
        <v>1.8859999999999999</v>
      </c>
      <c r="C67" s="3">
        <f>'Приборы учета'!G191</f>
        <v>1.8859999999999999</v>
      </c>
      <c r="D67" s="2">
        <f t="shared" si="1"/>
        <v>0</v>
      </c>
    </row>
    <row r="68" spans="1:4" x14ac:dyDescent="0.3">
      <c r="A68" s="4">
        <f>'Приборы учета'!C192</f>
        <v>11466744</v>
      </c>
      <c r="B68" s="3">
        <f>'Приборы учета'!F192</f>
        <v>2.1059999999999999</v>
      </c>
      <c r="C68" s="3">
        <f>'Приборы учета'!G192</f>
        <v>3.2480000000000002</v>
      </c>
      <c r="D68" s="2">
        <f t="shared" si="1"/>
        <v>1.1420000000000003</v>
      </c>
    </row>
    <row r="69" spans="1:4" x14ac:dyDescent="0.3">
      <c r="A69" s="4" t="str">
        <f>'Приборы учета'!C200</f>
        <v>23_10824233</v>
      </c>
      <c r="B69" s="2">
        <f>'Приборы учета'!F200</f>
        <v>0.27400000000000002</v>
      </c>
      <c r="C69" s="3">
        <f>'Приборы учета'!G200</f>
        <v>6.3079999999999998</v>
      </c>
      <c r="D69" s="2">
        <f t="shared" si="1"/>
        <v>6.0339999999999998</v>
      </c>
    </row>
    <row r="70" spans="1:4" x14ac:dyDescent="0.3">
      <c r="A70" s="4" t="str">
        <f>'Приборы учета'!C201</f>
        <v>23_11078036</v>
      </c>
      <c r="B70" s="2">
        <f>'Приборы учета'!F201</f>
        <v>0.18</v>
      </c>
      <c r="C70" s="3">
        <f>'Приборы учета'!G201</f>
        <v>0.18</v>
      </c>
      <c r="D70" s="2">
        <f t="shared" si="1"/>
        <v>0</v>
      </c>
    </row>
    <row r="71" spans="1:4" x14ac:dyDescent="0.3">
      <c r="A71" s="4" t="str">
        <f>'Приборы учета'!C202</f>
        <v>23_10979133</v>
      </c>
      <c r="B71" s="2">
        <f>'Приборы учета'!F202</f>
        <v>65.498000000000005</v>
      </c>
      <c r="C71" s="3">
        <f>'Приборы учета'!G202</f>
        <v>93.266999999999996</v>
      </c>
      <c r="D71" s="2">
        <f t="shared" si="1"/>
        <v>27.768999999999991</v>
      </c>
    </row>
    <row r="72" spans="1:4" x14ac:dyDescent="0.3">
      <c r="A72" s="4" t="str">
        <f>'Приборы учета'!C203</f>
        <v>23_11078043</v>
      </c>
      <c r="B72" s="3">
        <f>'Приборы учета'!F203</f>
        <v>275.303</v>
      </c>
      <c r="C72" s="3">
        <f>'Приборы учета'!G203</f>
        <v>275.63600000000002</v>
      </c>
      <c r="D72" s="2">
        <f t="shared" si="1"/>
        <v>0.33300000000002683</v>
      </c>
    </row>
    <row r="73" spans="1:4" x14ac:dyDescent="0.3">
      <c r="A73" s="4" t="str">
        <f>'Приборы учета'!C204</f>
        <v>23_10971007</v>
      </c>
      <c r="B73" s="3">
        <f>'Приборы учета'!F204</f>
        <v>5.7549999999999999</v>
      </c>
      <c r="C73" s="3">
        <f>'Приборы учета'!G204</f>
        <v>7.8739999999999997</v>
      </c>
      <c r="D73" s="2">
        <f t="shared" si="1"/>
        <v>2.1189999999999998</v>
      </c>
    </row>
    <row r="74" spans="1:4" x14ac:dyDescent="0.3">
      <c r="A74" s="4" t="str">
        <f>'Приборы учета'!C212</f>
        <v>23_10971323</v>
      </c>
      <c r="B74" s="3">
        <f>'Приборы учета'!F212</f>
        <v>1.337</v>
      </c>
      <c r="C74" s="3">
        <f>'Приборы учета'!G212</f>
        <v>1.347</v>
      </c>
      <c r="D74" s="2">
        <f t="shared" si="1"/>
        <v>1.0000000000000009E-2</v>
      </c>
    </row>
    <row r="75" spans="1:4" x14ac:dyDescent="0.3">
      <c r="A75" s="4" t="str">
        <f>'Приборы учета'!C213</f>
        <v>23_10966639</v>
      </c>
      <c r="B75" s="3">
        <f>'Приборы учета'!F213</f>
        <v>0.104</v>
      </c>
      <c r="C75" s="3">
        <f>'Приборы учета'!G213</f>
        <v>0.14799999999999999</v>
      </c>
      <c r="D75" s="2">
        <f t="shared" si="1"/>
        <v>4.3999999999999997E-2</v>
      </c>
    </row>
    <row r="76" spans="1:4" x14ac:dyDescent="0.3">
      <c r="A76" s="4" t="str">
        <f>'Приборы учета'!C214</f>
        <v>23_10971688</v>
      </c>
      <c r="B76" s="2">
        <f>'Приборы учета'!F214</f>
        <v>9.7469999999999999</v>
      </c>
      <c r="C76" s="3">
        <f>'Приборы учета'!G214</f>
        <v>18.414000000000001</v>
      </c>
      <c r="D76" s="2">
        <f t="shared" si="1"/>
        <v>8.6670000000000016</v>
      </c>
    </row>
    <row r="77" spans="1:4" x14ac:dyDescent="0.3">
      <c r="A77" s="4" t="str">
        <f>'Приборы учета'!C215</f>
        <v>23_10966648</v>
      </c>
      <c r="B77" s="3">
        <f>'Приборы учета'!F215</f>
        <v>0.36899999999999999</v>
      </c>
      <c r="C77" s="3">
        <f>'Приборы учета'!G215</f>
        <v>0.372</v>
      </c>
      <c r="D77" s="2">
        <f t="shared" si="1"/>
        <v>3.0000000000000027E-3</v>
      </c>
    </row>
    <row r="78" spans="1:4" x14ac:dyDescent="0.3">
      <c r="A78" s="4" t="str">
        <f>'Приборы учета'!C216</f>
        <v>23_10966644</v>
      </c>
      <c r="B78" s="3">
        <f>'Приборы учета'!F216</f>
        <v>424.709</v>
      </c>
      <c r="C78" s="3">
        <f>'Приборы учета'!G216</f>
        <v>424.709</v>
      </c>
      <c r="D78" s="2">
        <f t="shared" si="1"/>
        <v>0</v>
      </c>
    </row>
    <row r="79" spans="1:4" x14ac:dyDescent="0.3">
      <c r="A79" s="4" t="str">
        <f>'Приборы учета'!C224</f>
        <v>23_11466577</v>
      </c>
      <c r="B79" s="3">
        <f>'Приборы учета'!F224</f>
        <v>0.106</v>
      </c>
      <c r="C79" s="3">
        <f>'Приборы учета'!G224</f>
        <v>0.106</v>
      </c>
      <c r="D79" s="2">
        <f t="shared" si="1"/>
        <v>0</v>
      </c>
    </row>
    <row r="80" spans="1:4" x14ac:dyDescent="0.3">
      <c r="A80" s="4" t="str">
        <f>'Приборы учета'!C225</f>
        <v>23_10971403</v>
      </c>
      <c r="B80" s="3">
        <f>'Приборы учета'!F225</f>
        <v>0.55800000000000005</v>
      </c>
      <c r="C80" s="2">
        <f>'Приборы учета'!G225</f>
        <v>0.55800000000000005</v>
      </c>
      <c r="D80" s="2">
        <f t="shared" si="1"/>
        <v>0</v>
      </c>
    </row>
    <row r="81" spans="1:4" x14ac:dyDescent="0.3">
      <c r="A81" s="4" t="str">
        <f>'Приборы учета'!C226</f>
        <v>23_11466677</v>
      </c>
      <c r="B81" s="2">
        <f>'Приборы учета'!F226</f>
        <v>21.536999999999999</v>
      </c>
      <c r="C81" s="2">
        <f>'Приборы учета'!G226</f>
        <v>22.218</v>
      </c>
      <c r="D81" s="2">
        <f t="shared" si="1"/>
        <v>0.68100000000000094</v>
      </c>
    </row>
    <row r="82" spans="1:4" x14ac:dyDescent="0.3">
      <c r="A82" s="4" t="str">
        <f>'Приборы учета'!C227</f>
        <v>23_11466826</v>
      </c>
      <c r="B82" s="3">
        <f>'Приборы учета'!F227</f>
        <v>0.54300000000000004</v>
      </c>
      <c r="C82" s="3">
        <f>'Приборы учета'!G227</f>
        <v>0.54300000000000004</v>
      </c>
      <c r="D82" s="2">
        <f t="shared" si="1"/>
        <v>0</v>
      </c>
    </row>
    <row r="83" spans="1:4" x14ac:dyDescent="0.3">
      <c r="A83" s="4" t="str">
        <f>'Приборы учета'!C228</f>
        <v>23_11466563</v>
      </c>
      <c r="B83" s="3">
        <f>'Приборы учета'!F228</f>
        <v>0.217</v>
      </c>
      <c r="C83" s="3">
        <f>'Приборы учета'!G228</f>
        <v>0.217</v>
      </c>
      <c r="D83" s="2">
        <f t="shared" si="1"/>
        <v>0</v>
      </c>
    </row>
    <row r="84" spans="1:4" x14ac:dyDescent="0.3">
      <c r="A84" s="4" t="str">
        <f>'Приборы учета'!C236</f>
        <v>23_11466569</v>
      </c>
      <c r="B84" s="3">
        <f>'Приборы учета'!F236</f>
        <v>5.2999999999999999E-2</v>
      </c>
      <c r="C84" s="3">
        <f>'Приборы учета'!G236</f>
        <v>5.2999999999999999E-2</v>
      </c>
      <c r="D84" s="2">
        <f t="shared" si="1"/>
        <v>0</v>
      </c>
    </row>
    <row r="85" spans="1:4" x14ac:dyDescent="0.3">
      <c r="A85" s="4" t="str">
        <f>'Приборы учета'!C237</f>
        <v>23_11032786</v>
      </c>
      <c r="B85" s="3">
        <f>'Приборы учета'!F237</f>
        <v>0.41499999999999998</v>
      </c>
      <c r="C85" s="3">
        <f>'Приборы учета'!G237</f>
        <v>0.41499999999999998</v>
      </c>
      <c r="D85" s="2">
        <f t="shared" si="1"/>
        <v>0</v>
      </c>
    </row>
    <row r="86" spans="1:4" x14ac:dyDescent="0.3">
      <c r="A86" s="4" t="str">
        <f>'Приборы учета'!C238</f>
        <v>23_11466566</v>
      </c>
      <c r="B86" s="3">
        <f>'Приборы учета'!F238</f>
        <v>31.408000000000001</v>
      </c>
      <c r="C86" s="3">
        <f>'Приборы учета'!G238</f>
        <v>31.408000000000001</v>
      </c>
      <c r="D86" s="2">
        <f t="shared" si="1"/>
        <v>0</v>
      </c>
    </row>
    <row r="87" spans="1:4" x14ac:dyDescent="0.3">
      <c r="A87" s="4" t="str">
        <f>'Приборы учета'!C239</f>
        <v>23_11466556</v>
      </c>
      <c r="B87" s="3">
        <f>'Приборы учета'!F239</f>
        <v>0.86099999999999999</v>
      </c>
      <c r="C87" s="3">
        <f>'Приборы учета'!G239</f>
        <v>0.86099999999999999</v>
      </c>
      <c r="D87" s="2">
        <f t="shared" si="1"/>
        <v>0</v>
      </c>
    </row>
    <row r="88" spans="1:4" x14ac:dyDescent="0.3">
      <c r="A88" s="4" t="str">
        <f>'Приборы учета'!C240</f>
        <v>23_11466572</v>
      </c>
      <c r="B88" s="3">
        <f>'Приборы учета'!F240</f>
        <v>2.9000000000000001E-2</v>
      </c>
      <c r="C88" s="2">
        <f>'Приборы учета'!G240</f>
        <v>2.9000000000000001E-2</v>
      </c>
      <c r="D88" s="2">
        <f t="shared" si="1"/>
        <v>0</v>
      </c>
    </row>
    <row r="89" spans="1:4" x14ac:dyDescent="0.3">
      <c r="A89" s="4" t="str">
        <f>'Приборы учета'!C248</f>
        <v>23_11029408</v>
      </c>
      <c r="B89" s="2">
        <f>'Приборы учета'!F248</f>
        <v>0.314</v>
      </c>
      <c r="C89" s="2">
        <f>'Приборы учета'!G248</f>
        <v>0.314</v>
      </c>
      <c r="D89" s="2">
        <f t="shared" si="1"/>
        <v>0</v>
      </c>
    </row>
    <row r="90" spans="1:4" x14ac:dyDescent="0.3">
      <c r="A90" s="4" t="str">
        <f>'Приборы учета'!C249</f>
        <v>23_11466819</v>
      </c>
      <c r="B90" s="2">
        <f>'Приборы учета'!F249</f>
        <v>13.545999999999999</v>
      </c>
      <c r="C90" s="3">
        <f>'Приборы учета'!G249</f>
        <v>16.547999999999998</v>
      </c>
      <c r="D90" s="2">
        <f t="shared" si="1"/>
        <v>3.0019999999999989</v>
      </c>
    </row>
    <row r="91" spans="1:4" x14ac:dyDescent="0.3">
      <c r="A91" s="4" t="str">
        <f>'Приборы учета'!C250</f>
        <v>23_10975535</v>
      </c>
      <c r="B91" s="3">
        <f>'Приборы учета'!F250</f>
        <v>15.249000000000001</v>
      </c>
      <c r="C91" s="3">
        <f>'Приборы учета'!G250</f>
        <v>15.249000000000001</v>
      </c>
      <c r="D91" s="2">
        <f t="shared" si="1"/>
        <v>0</v>
      </c>
    </row>
    <row r="92" spans="1:4" x14ac:dyDescent="0.3">
      <c r="A92" s="4" t="str">
        <f>'Приборы учета'!C251</f>
        <v>23_11029430</v>
      </c>
      <c r="B92" s="3">
        <f>'Приборы учета'!F251</f>
        <v>6.4000000000000001E-2</v>
      </c>
      <c r="C92" s="3">
        <f>'Приборы учета'!G251</f>
        <v>6.4000000000000001E-2</v>
      </c>
      <c r="D92" s="2">
        <f t="shared" si="1"/>
        <v>0</v>
      </c>
    </row>
    <row r="93" spans="1:4" x14ac:dyDescent="0.3">
      <c r="A93" s="4" t="str">
        <f>'Приборы учета'!C252</f>
        <v>23_10985057</v>
      </c>
      <c r="B93" s="3">
        <f>'Приборы учета'!F252</f>
        <v>528.596</v>
      </c>
      <c r="C93" s="3">
        <f>'Приборы учета'!G252</f>
        <v>528.596</v>
      </c>
      <c r="D93" s="2">
        <f t="shared" si="1"/>
        <v>0</v>
      </c>
    </row>
    <row r="94" spans="1:4" x14ac:dyDescent="0.3">
      <c r="A94" s="4">
        <f>'Приборы учета'!C260</f>
        <v>10824220</v>
      </c>
      <c r="B94" s="3">
        <f>'Приборы учета'!F260</f>
        <v>1.4690000000000001</v>
      </c>
      <c r="C94" s="3">
        <f>'Приборы учета'!G260</f>
        <v>5.335</v>
      </c>
      <c r="D94" s="2">
        <f t="shared" si="1"/>
        <v>3.8659999999999997</v>
      </c>
    </row>
    <row r="95" spans="1:4" x14ac:dyDescent="0.3">
      <c r="A95" s="4">
        <f>'Приборы учета'!C261</f>
        <v>11032780</v>
      </c>
      <c r="B95" s="3">
        <f>'Приборы учета'!F261</f>
        <v>0.71</v>
      </c>
      <c r="C95" s="3">
        <f>'Приборы учета'!G261</f>
        <v>40.177</v>
      </c>
      <c r="D95" s="2">
        <f t="shared" si="1"/>
        <v>39.466999999999999</v>
      </c>
    </row>
    <row r="96" spans="1:4" x14ac:dyDescent="0.3">
      <c r="A96" s="4">
        <f>'Приборы учета'!C262</f>
        <v>11031165</v>
      </c>
      <c r="B96" s="3">
        <f>'Приборы учета'!F262</f>
        <v>0.39900000000000002</v>
      </c>
      <c r="C96" s="3">
        <f>'Приборы учета'!G262</f>
        <v>0.39900000000000002</v>
      </c>
      <c r="D96" s="2">
        <f t="shared" si="1"/>
        <v>0</v>
      </c>
    </row>
    <row r="97" spans="1:4" x14ac:dyDescent="0.3">
      <c r="A97" s="4">
        <f>'Приборы учета'!C263</f>
        <v>10824206</v>
      </c>
      <c r="B97" s="3">
        <f>'Приборы учета'!F263</f>
        <v>0.126</v>
      </c>
      <c r="C97" s="3">
        <f>'Приборы учета'!G263</f>
        <v>0.126</v>
      </c>
      <c r="D97" s="2">
        <f t="shared" si="1"/>
        <v>0</v>
      </c>
    </row>
    <row r="98" spans="1:4" x14ac:dyDescent="0.3">
      <c r="A98" s="4">
        <f>'Приборы учета'!C264</f>
        <v>10975449</v>
      </c>
      <c r="B98" s="3">
        <f>'Приборы учета'!F264</f>
        <v>0.55200000000000005</v>
      </c>
      <c r="C98" s="3">
        <f>'Приборы учета'!G264</f>
        <v>0.55200000000000005</v>
      </c>
      <c r="D98" s="2">
        <f t="shared" si="1"/>
        <v>0</v>
      </c>
    </row>
    <row r="99" spans="1:4" x14ac:dyDescent="0.3">
      <c r="A99" s="4">
        <f>'Приборы учета'!C272</f>
        <v>11039714</v>
      </c>
      <c r="B99" s="3">
        <f>'Приборы учета'!F272</f>
        <v>9.0060000000000002</v>
      </c>
      <c r="C99" s="3">
        <f>'Приборы учета'!G272</f>
        <v>9.9009999999999998</v>
      </c>
      <c r="D99" s="2">
        <f t="shared" si="1"/>
        <v>0.89499999999999957</v>
      </c>
    </row>
    <row r="100" spans="1:4" x14ac:dyDescent="0.3">
      <c r="A100" s="4">
        <f>'Приборы учета'!C273</f>
        <v>11078024</v>
      </c>
      <c r="B100" s="3">
        <f>'Приборы учета'!F273</f>
        <v>0.14499999999999999</v>
      </c>
      <c r="C100" s="3">
        <f>'Приборы учета'!G273</f>
        <v>37.582000000000001</v>
      </c>
      <c r="D100" s="2">
        <f t="shared" si="1"/>
        <v>37.436999999999998</v>
      </c>
    </row>
    <row r="101" spans="1:4" x14ac:dyDescent="0.3">
      <c r="A101" s="4">
        <f>'Приборы учета'!C274</f>
        <v>11081983</v>
      </c>
      <c r="B101" s="3">
        <f>'Приборы учета'!F274</f>
        <v>0.42699999999999999</v>
      </c>
      <c r="C101" s="3">
        <f>'Приборы учета'!G274</f>
        <v>0.42699999999999999</v>
      </c>
      <c r="D101" s="2">
        <f t="shared" si="1"/>
        <v>0</v>
      </c>
    </row>
    <row r="102" spans="1:4" x14ac:dyDescent="0.3">
      <c r="A102" s="4">
        <f>'Приборы учета'!C275</f>
        <v>11078029</v>
      </c>
      <c r="B102" s="3">
        <f>'Приборы учета'!F275</f>
        <v>4.2000000000000003E-2</v>
      </c>
      <c r="C102" s="3">
        <f>'Приборы учета'!G275</f>
        <v>4.2000000000000003E-2</v>
      </c>
      <c r="D102" s="2">
        <f t="shared" si="1"/>
        <v>0</v>
      </c>
    </row>
    <row r="103" spans="1:4" x14ac:dyDescent="0.3">
      <c r="A103" s="4">
        <f>'Приборы учета'!C276</f>
        <v>11082007</v>
      </c>
      <c r="B103" s="3">
        <f>'Приборы учета'!F276</f>
        <v>0.17799999999999999</v>
      </c>
      <c r="C103" s="3">
        <f>'Приборы учета'!G276</f>
        <v>0.17799999999999999</v>
      </c>
      <c r="D103" s="2">
        <f t="shared" si="1"/>
        <v>0</v>
      </c>
    </row>
    <row r="104" spans="1:4" x14ac:dyDescent="0.3">
      <c r="A104" s="4">
        <f>'Приборы учета'!C284</f>
        <v>11035773</v>
      </c>
      <c r="B104" s="3">
        <f>'Приборы учета'!F284</f>
        <v>7.8010000000000002</v>
      </c>
      <c r="C104" s="3">
        <f>'Приборы учета'!G284</f>
        <v>16.907</v>
      </c>
      <c r="D104" s="2">
        <f t="shared" si="1"/>
        <v>9.1059999999999999</v>
      </c>
    </row>
    <row r="105" spans="1:4" x14ac:dyDescent="0.3">
      <c r="A105" s="4">
        <f>'Приборы учета'!C285</f>
        <v>11040564</v>
      </c>
      <c r="B105" s="3">
        <f>'Приборы учета'!F285</f>
        <v>2.9350000000000001</v>
      </c>
      <c r="C105" s="3">
        <f>'Приборы учета'!G285</f>
        <v>2.9350000000000001</v>
      </c>
      <c r="D105" s="2">
        <f t="shared" si="1"/>
        <v>0</v>
      </c>
    </row>
    <row r="106" spans="1:4" x14ac:dyDescent="0.3">
      <c r="A106" s="4">
        <f>'Приборы учета'!C286</f>
        <v>11040572</v>
      </c>
      <c r="B106" s="3">
        <f>'Приборы учета'!F286</f>
        <v>0.114</v>
      </c>
      <c r="C106" s="3">
        <f>'Приборы учета'!G286</f>
        <v>0.114</v>
      </c>
      <c r="D106" s="2">
        <f t="shared" si="1"/>
        <v>0</v>
      </c>
    </row>
    <row r="107" spans="1:4" x14ac:dyDescent="0.3">
      <c r="A107" s="4">
        <f>'Приборы учета'!C287</f>
        <v>11082008</v>
      </c>
      <c r="B107" s="3">
        <f>'Приборы учета'!F287</f>
        <v>9.0820000000000007</v>
      </c>
      <c r="C107" s="3">
        <f>'Приборы учета'!G287</f>
        <v>10.000999999999999</v>
      </c>
      <c r="D107" s="2">
        <f t="shared" si="1"/>
        <v>0.91899999999999871</v>
      </c>
    </row>
    <row r="108" spans="1:4" x14ac:dyDescent="0.3">
      <c r="A108" s="4" t="str">
        <f>'Приборы учета'!C288</f>
        <v>23_11035766</v>
      </c>
      <c r="B108" s="3">
        <f>'Приборы учета'!F288</f>
        <v>2.9000000000000001E-2</v>
      </c>
      <c r="C108" s="3">
        <f>'Приборы учета'!G288</f>
        <v>2.9000000000000001E-2</v>
      </c>
      <c r="D108" s="2">
        <f t="shared" si="1"/>
        <v>0</v>
      </c>
    </row>
    <row r="109" spans="1:4" x14ac:dyDescent="0.3">
      <c r="A109" s="4" t="str">
        <f>'Приборы учета'!C296</f>
        <v>23_11035764</v>
      </c>
      <c r="B109" s="3">
        <f>'Приборы учета'!F296</f>
        <v>1.357</v>
      </c>
      <c r="C109" s="3">
        <f>'Приборы учета'!G296</f>
        <v>1.357</v>
      </c>
      <c r="D109" s="2">
        <f t="shared" si="1"/>
        <v>0</v>
      </c>
    </row>
    <row r="110" spans="1:4" x14ac:dyDescent="0.3">
      <c r="A110" s="4" t="str">
        <f>'Приборы учета'!C297</f>
        <v>23_11035767</v>
      </c>
      <c r="B110" s="3">
        <f>'Приборы учета'!F297</f>
        <v>0.19800000000000001</v>
      </c>
      <c r="C110" s="3">
        <f>'Приборы учета'!G297</f>
        <v>0.19800000000000001</v>
      </c>
      <c r="D110" s="2">
        <f t="shared" si="1"/>
        <v>0</v>
      </c>
    </row>
    <row r="111" spans="1:4" x14ac:dyDescent="0.3">
      <c r="A111" s="4" t="str">
        <f>'Приборы учета'!C298</f>
        <v>23_11035783</v>
      </c>
      <c r="B111" s="3">
        <f>'Приборы учета'!F298</f>
        <v>2.8000000000000001E-2</v>
      </c>
      <c r="C111" s="3">
        <f>'Приборы учета'!G298</f>
        <v>2.8000000000000001E-2</v>
      </c>
      <c r="D111" s="2">
        <f t="shared" si="1"/>
        <v>0</v>
      </c>
    </row>
    <row r="112" spans="1:4" x14ac:dyDescent="0.3">
      <c r="A112" s="4" t="str">
        <f>'Приборы учета'!C299</f>
        <v>23_11035771</v>
      </c>
      <c r="B112" s="3">
        <f>'Приборы учета'!F299</f>
        <v>5.7000000000000002E-2</v>
      </c>
      <c r="C112" s="3">
        <f>'Приборы учета'!G299</f>
        <v>5.7000000000000002E-2</v>
      </c>
      <c r="D112" s="2">
        <f t="shared" si="1"/>
        <v>0</v>
      </c>
    </row>
    <row r="113" spans="1:4" x14ac:dyDescent="0.3">
      <c r="A113" s="4" t="str">
        <f>'Приборы учета'!C300</f>
        <v>23_11035769</v>
      </c>
      <c r="B113" s="3">
        <f>'Приборы учета'!F300</f>
        <v>7.6999999999999999E-2</v>
      </c>
      <c r="C113" s="3">
        <f>'Приборы учета'!G300</f>
        <v>7.6999999999999999E-2</v>
      </c>
      <c r="D113" s="2">
        <f t="shared" si="1"/>
        <v>0</v>
      </c>
    </row>
    <row r="114" spans="1:4" x14ac:dyDescent="0.3">
      <c r="A114" s="4">
        <f>'Приборы учета'!C308</f>
        <v>11039828</v>
      </c>
      <c r="B114" s="3">
        <f>'Приборы учета'!F308</f>
        <v>0.48099999999999998</v>
      </c>
      <c r="C114" s="3">
        <f>'Приборы учета'!G308</f>
        <v>0.48099999999999998</v>
      </c>
      <c r="D114" s="2">
        <f t="shared" si="1"/>
        <v>0</v>
      </c>
    </row>
    <row r="115" spans="1:4" x14ac:dyDescent="0.3">
      <c r="A115" s="4">
        <f>'Приборы учета'!C309</f>
        <v>11039818</v>
      </c>
      <c r="B115" s="3">
        <f>'Приборы учета'!F309</f>
        <v>4.2999999999999997E-2</v>
      </c>
      <c r="C115" s="3">
        <f>'Приборы учета'!G309</f>
        <v>4.2999999999999997E-2</v>
      </c>
      <c r="D115" s="2">
        <f t="shared" si="1"/>
        <v>0</v>
      </c>
    </row>
    <row r="116" spans="1:4" x14ac:dyDescent="0.3">
      <c r="A116" s="4">
        <f>'Приборы учета'!C310</f>
        <v>11039829</v>
      </c>
      <c r="B116" s="3">
        <f>'Приборы учета'!F310</f>
        <v>0.34100000000000003</v>
      </c>
      <c r="C116" s="3">
        <f>'Приборы учета'!G310</f>
        <v>0.34100000000000003</v>
      </c>
      <c r="D116" s="2">
        <f t="shared" si="1"/>
        <v>0</v>
      </c>
    </row>
    <row r="117" spans="1:4" x14ac:dyDescent="0.3">
      <c r="A117" s="4">
        <f>'Приборы учета'!C311</f>
        <v>11039826</v>
      </c>
      <c r="B117" s="3">
        <f>'Приборы учета'!F311</f>
        <v>0.27700000000000002</v>
      </c>
      <c r="C117" s="3">
        <f>'Приборы учета'!G311</f>
        <v>0.27700000000000002</v>
      </c>
      <c r="D117" s="2">
        <f t="shared" si="1"/>
        <v>0</v>
      </c>
    </row>
    <row r="118" spans="1:4" x14ac:dyDescent="0.3">
      <c r="A118" s="4">
        <f>'Приборы учета'!C312</f>
        <v>10971335</v>
      </c>
      <c r="B118" s="3">
        <f>'Приборы учета'!F312</f>
        <v>0.307</v>
      </c>
      <c r="C118" s="3">
        <f>'Приборы учета'!G312</f>
        <v>0.307</v>
      </c>
      <c r="D118" s="2">
        <f t="shared" si="1"/>
        <v>0</v>
      </c>
    </row>
    <row r="119" spans="1:4" x14ac:dyDescent="0.3">
      <c r="A119" s="4" t="str">
        <f>'Приборы учета'!$C$320</f>
        <v>23_11081987</v>
      </c>
      <c r="B119" s="3">
        <f>'Приборы учета'!$F$320</f>
        <v>0.03</v>
      </c>
      <c r="C119" s="3">
        <f>'Приборы учета'!$G$320</f>
        <v>0.03</v>
      </c>
      <c r="D119" s="2">
        <f t="shared" si="1"/>
        <v>0</v>
      </c>
    </row>
    <row r="120" spans="1:4" x14ac:dyDescent="0.3">
      <c r="A120" s="4" t="str">
        <f>'Приборы учета'!$C$323</f>
        <v>23_10969934</v>
      </c>
      <c r="B120" s="3">
        <f>'Приборы учета'!$F$323</f>
        <v>0.28699999999999998</v>
      </c>
      <c r="C120" s="3">
        <f>'Приборы учета'!$G$323</f>
        <v>0.28699999999999998</v>
      </c>
      <c r="D120" s="2">
        <f t="shared" si="1"/>
        <v>0</v>
      </c>
    </row>
    <row r="121" spans="1:4" x14ac:dyDescent="0.3">
      <c r="A121" s="4" t="str">
        <f>'Приборы учета'!$C$326</f>
        <v>23_11083054</v>
      </c>
      <c r="B121" s="3">
        <f>'Приборы учета'!$F$326</f>
        <v>0.13100000000000001</v>
      </c>
      <c r="C121" s="3">
        <f>'Приборы учета'!$G$326</f>
        <v>0.13100000000000001</v>
      </c>
      <c r="D121" s="2">
        <f t="shared" si="1"/>
        <v>0</v>
      </c>
    </row>
    <row r="122" spans="1:4" x14ac:dyDescent="0.3">
      <c r="A122" s="4" t="str">
        <f>'Приборы учета'!$C$329</f>
        <v>23_11035723</v>
      </c>
      <c r="B122" s="3">
        <f>'Приборы учета'!$F$329</f>
        <v>1.74</v>
      </c>
      <c r="C122" s="3">
        <f>'Приборы учета'!$G$329</f>
        <v>10.846</v>
      </c>
      <c r="D122" s="2">
        <f t="shared" si="1"/>
        <v>9.1059999999999999</v>
      </c>
    </row>
    <row r="123" spans="1:4" x14ac:dyDescent="0.3">
      <c r="A123" s="4" t="str">
        <f>'Приборы учета'!C332</f>
        <v>23_11083055</v>
      </c>
      <c r="B123" s="3">
        <f>'Приборы учета'!F332</f>
        <v>0.44600000000000001</v>
      </c>
      <c r="C123" s="3">
        <f>'Приборы учета'!G332</f>
        <v>0.44600000000000001</v>
      </c>
      <c r="D123" s="2">
        <f t="shared" si="1"/>
        <v>0</v>
      </c>
    </row>
    <row r="124" spans="1:4" x14ac:dyDescent="0.3">
      <c r="A124" s="4" t="str">
        <f>'Приборы учета'!C333</f>
        <v>23_11083052</v>
      </c>
      <c r="B124" s="3">
        <f>'Приборы учета'!F333</f>
        <v>8.9999999999999993E-3</v>
      </c>
      <c r="C124" s="3">
        <f>'Приборы учета'!G333</f>
        <v>8.9999999999999993E-3</v>
      </c>
      <c r="D124" s="2">
        <f t="shared" si="1"/>
        <v>0</v>
      </c>
    </row>
    <row r="125" spans="1:4" x14ac:dyDescent="0.3">
      <c r="A125" s="4" t="str">
        <f>'Приборы учета'!C334</f>
        <v>23_11083049</v>
      </c>
      <c r="B125" s="3">
        <f>'Приборы учета'!F334</f>
        <v>9.4E-2</v>
      </c>
      <c r="C125" s="3">
        <f>'Приборы учета'!G334</f>
        <v>9.4E-2</v>
      </c>
      <c r="D125" s="2">
        <f t="shared" si="1"/>
        <v>0</v>
      </c>
    </row>
    <row r="126" spans="1:4" x14ac:dyDescent="0.3">
      <c r="A126" s="4" t="str">
        <f>'Приборы учета'!C335</f>
        <v>23_10983994</v>
      </c>
      <c r="B126" s="3">
        <f>'Приборы учета'!F335</f>
        <v>1.41</v>
      </c>
      <c r="C126" s="3">
        <f>'Приборы учета'!G335</f>
        <v>1.41</v>
      </c>
      <c r="D126" s="2">
        <f t="shared" si="1"/>
        <v>0</v>
      </c>
    </row>
    <row r="127" spans="1:4" x14ac:dyDescent="0.3">
      <c r="A127" s="4" t="str">
        <f>'Приборы учета'!$C$342</f>
        <v>23_11083060</v>
      </c>
      <c r="B127" s="3">
        <f>'Приборы учета'!$F$342</f>
        <v>0.22</v>
      </c>
      <c r="C127" s="3">
        <f>'Приборы учета'!$G$342</f>
        <v>0.22</v>
      </c>
      <c r="D127" s="2">
        <f t="shared" si="1"/>
        <v>0</v>
      </c>
    </row>
    <row r="128" spans="1:4" x14ac:dyDescent="0.3">
      <c r="A128" s="4" t="str">
        <f>'Приборы учета'!C345</f>
        <v>23_11031127</v>
      </c>
      <c r="B128" s="3">
        <f>'Приборы учета'!F345</f>
        <v>1.2999999999999999E-2</v>
      </c>
      <c r="C128" s="3">
        <f>'Приборы учета'!G345</f>
        <v>1.2999999999999999E-2</v>
      </c>
      <c r="D128" s="2">
        <f t="shared" si="1"/>
        <v>0</v>
      </c>
    </row>
    <row r="129" spans="1:4" x14ac:dyDescent="0.3">
      <c r="A129" s="4" t="str">
        <f>'Приборы учета'!C346</f>
        <v>23_10985071</v>
      </c>
      <c r="B129" s="3">
        <f>'Приборы учета'!F346</f>
        <v>0.32200000000000001</v>
      </c>
      <c r="C129" s="3">
        <f>'Приборы учета'!G346</f>
        <v>0.32200000000000001</v>
      </c>
      <c r="D129" s="2">
        <f t="shared" si="1"/>
        <v>0</v>
      </c>
    </row>
    <row r="130" spans="1:4" x14ac:dyDescent="0.3">
      <c r="A130" s="4" t="str">
        <f>'Приборы учета'!C347</f>
        <v>23_10985059</v>
      </c>
      <c r="B130" s="3">
        <f>'Приборы учета'!F347</f>
        <v>3.1E-2</v>
      </c>
      <c r="C130" s="3">
        <f>'Приборы учета'!G347</f>
        <v>3.1E-2</v>
      </c>
      <c r="D130" s="2">
        <f t="shared" ref="D130:D172" si="2">C130-B130</f>
        <v>0</v>
      </c>
    </row>
    <row r="131" spans="1:4" x14ac:dyDescent="0.3">
      <c r="A131" s="4" t="str">
        <f>'Приборы учета'!C348</f>
        <v>23_11034656</v>
      </c>
      <c r="B131" s="3">
        <f>'Приборы учета'!F348</f>
        <v>0.72099999999999997</v>
      </c>
      <c r="C131" s="3">
        <f>'Приборы учета'!G348</f>
        <v>0.72099999999999997</v>
      </c>
      <c r="D131" s="2">
        <f t="shared" si="2"/>
        <v>0</v>
      </c>
    </row>
    <row r="132" spans="1:4" x14ac:dyDescent="0.3">
      <c r="A132" s="4" t="str">
        <f>'Приборы учета'!C349</f>
        <v>23_11031995</v>
      </c>
      <c r="B132" s="3">
        <f>'Приборы учета'!F349</f>
        <v>0.20399999999999999</v>
      </c>
      <c r="C132" s="3">
        <f>'Приборы учета'!G349</f>
        <v>0.20399999999999999</v>
      </c>
      <c r="D132" s="2">
        <f t="shared" si="2"/>
        <v>0</v>
      </c>
    </row>
    <row r="133" spans="1:4" x14ac:dyDescent="0.3">
      <c r="A133" s="4" t="str">
        <f>'Приборы учета'!C357</f>
        <v>23_11031111</v>
      </c>
      <c r="B133" s="3">
        <f>'Приборы учета'!F357</f>
        <v>2.819</v>
      </c>
      <c r="C133" s="3">
        <f>'Приборы учета'!G357</f>
        <v>2.819</v>
      </c>
      <c r="D133" s="2">
        <f t="shared" si="2"/>
        <v>0</v>
      </c>
    </row>
    <row r="134" spans="1:4" x14ac:dyDescent="0.3">
      <c r="A134" s="4" t="str">
        <f>'Приборы учета'!C358</f>
        <v>23_10975479</v>
      </c>
      <c r="B134" s="3">
        <f>'Приборы учета'!F358</f>
        <v>1.0999999999999999E-2</v>
      </c>
      <c r="C134" s="3">
        <f>'Приборы учета'!G358</f>
        <v>1.0999999999999999E-2</v>
      </c>
      <c r="D134" s="2">
        <f t="shared" si="2"/>
        <v>0</v>
      </c>
    </row>
    <row r="135" spans="1:4" x14ac:dyDescent="0.3">
      <c r="A135" s="4" t="str">
        <f>'Приборы учета'!C359</f>
        <v>23_10985080</v>
      </c>
      <c r="B135" s="3">
        <f>'Приборы учета'!F359</f>
        <v>1.4999999999999999E-2</v>
      </c>
      <c r="C135" s="2">
        <f>'Приборы учета'!G359</f>
        <v>1.4999999999999999E-2</v>
      </c>
      <c r="D135" s="2">
        <f t="shared" si="2"/>
        <v>0</v>
      </c>
    </row>
    <row r="136" spans="1:4" x14ac:dyDescent="0.3">
      <c r="A136" s="27" t="str">
        <f>'Приборы учета'!C360</f>
        <v>23_11032001</v>
      </c>
      <c r="B136" s="2">
        <f>'Приборы учета'!F360</f>
        <v>3.1320000000000001</v>
      </c>
      <c r="C136" s="2">
        <f>'Приборы учета'!G360</f>
        <v>7.4429999999999996</v>
      </c>
      <c r="D136" s="2">
        <f t="shared" si="2"/>
        <v>4.3109999999999999</v>
      </c>
    </row>
    <row r="137" spans="1:4" x14ac:dyDescent="0.3">
      <c r="A137" s="27" t="str">
        <f>'Приборы учета'!C361</f>
        <v>23_10985072</v>
      </c>
      <c r="B137" s="2">
        <f>'Приборы учета'!F361</f>
        <v>1.05</v>
      </c>
      <c r="C137" s="2">
        <f>'Приборы учета'!G361</f>
        <v>1.05</v>
      </c>
      <c r="D137" s="2">
        <f t="shared" si="2"/>
        <v>0</v>
      </c>
    </row>
    <row r="138" spans="1:4" x14ac:dyDescent="0.3">
      <c r="A138" s="27" t="str">
        <f>'Приборы учета'!C369</f>
        <v>23_10969992</v>
      </c>
      <c r="B138" s="2">
        <f>'Приборы учета'!F369</f>
        <v>131.69399999999999</v>
      </c>
      <c r="C138" s="2">
        <f>'Приборы учета'!G369</f>
        <v>131.69399999999999</v>
      </c>
      <c r="D138" s="2">
        <f t="shared" si="2"/>
        <v>0</v>
      </c>
    </row>
    <row r="139" spans="1:4" x14ac:dyDescent="0.3">
      <c r="A139" s="27" t="str">
        <f>'Приборы учета'!C370</f>
        <v>23_10969990</v>
      </c>
      <c r="B139" s="2">
        <f>'Приборы учета'!F370</f>
        <v>8.4000000000000005E-2</v>
      </c>
      <c r="C139" s="2">
        <f>'Приборы учета'!G370</f>
        <v>8.4000000000000005E-2</v>
      </c>
      <c r="D139" s="2">
        <f t="shared" si="2"/>
        <v>0</v>
      </c>
    </row>
    <row r="140" spans="1:4" x14ac:dyDescent="0.3">
      <c r="A140" s="27" t="str">
        <f>'Приборы учета'!C371</f>
        <v>23_11032805</v>
      </c>
      <c r="B140" s="2">
        <f>'Приборы учета'!F371</f>
        <v>0.76</v>
      </c>
      <c r="C140" s="2">
        <f>'Приборы учета'!G371</f>
        <v>0.76</v>
      </c>
      <c r="D140" s="2">
        <f t="shared" si="2"/>
        <v>0</v>
      </c>
    </row>
    <row r="141" spans="1:4" x14ac:dyDescent="0.3">
      <c r="A141" s="27" t="str">
        <f>'Приборы учета'!C372</f>
        <v>23_10969994</v>
      </c>
      <c r="B141" s="2">
        <f>'Приборы учета'!F372</f>
        <v>0.30399999999999999</v>
      </c>
      <c r="C141" s="2">
        <f>'Приборы учета'!G372</f>
        <v>0.30399999999999999</v>
      </c>
      <c r="D141" s="2">
        <f t="shared" si="2"/>
        <v>0</v>
      </c>
    </row>
    <row r="142" spans="1:4" x14ac:dyDescent="0.3">
      <c r="A142" s="27" t="str">
        <f>'Приборы учета'!C373</f>
        <v>23_10969985</v>
      </c>
      <c r="B142" s="2">
        <f>'Приборы учета'!F373</f>
        <v>0.442</v>
      </c>
      <c r="C142" s="2">
        <f>'Приборы учета'!G373</f>
        <v>0.442</v>
      </c>
      <c r="D142" s="2">
        <f t="shared" si="2"/>
        <v>0</v>
      </c>
    </row>
    <row r="143" spans="1:4" x14ac:dyDescent="0.3">
      <c r="A143" s="1" t="str">
        <f>'Приборы учета'!C381</f>
        <v>23_10969991</v>
      </c>
      <c r="B143" s="2">
        <f>'Приборы учета'!F381</f>
        <v>2.5659999999999998</v>
      </c>
      <c r="C143" s="2">
        <f>'Приборы учета'!G381</f>
        <v>2.5659999999999998</v>
      </c>
      <c r="D143" s="2">
        <f t="shared" si="2"/>
        <v>0</v>
      </c>
    </row>
    <row r="144" spans="1:4" x14ac:dyDescent="0.3">
      <c r="A144" s="1" t="str">
        <f>'Приборы учета'!C382</f>
        <v>23_10969993</v>
      </c>
      <c r="B144" s="2">
        <f>'Приборы учета'!F382</f>
        <v>0.154</v>
      </c>
      <c r="C144" s="2">
        <f>'Приборы учета'!G382</f>
        <v>0.154</v>
      </c>
      <c r="D144" s="2">
        <f t="shared" si="2"/>
        <v>0</v>
      </c>
    </row>
    <row r="145" spans="1:4" x14ac:dyDescent="0.3">
      <c r="A145" s="1" t="str">
        <f>'Приборы учета'!C383</f>
        <v>23_10971040</v>
      </c>
      <c r="B145" s="2">
        <f>'Приборы учета'!F383</f>
        <v>0.21</v>
      </c>
      <c r="C145" s="2">
        <f>'Приборы учета'!G383</f>
        <v>0.21</v>
      </c>
      <c r="D145" s="2">
        <f t="shared" si="2"/>
        <v>0</v>
      </c>
    </row>
    <row r="146" spans="1:4" x14ac:dyDescent="0.3">
      <c r="A146" s="1" t="str">
        <f>'Приборы учета'!C384</f>
        <v>23_11041112</v>
      </c>
      <c r="B146" s="2">
        <f>'Приборы учета'!F384</f>
        <v>0.376</v>
      </c>
      <c r="C146" s="2">
        <f>'Приборы учета'!G384</f>
        <v>0.376</v>
      </c>
      <c r="D146" s="2">
        <f t="shared" si="2"/>
        <v>0</v>
      </c>
    </row>
    <row r="147" spans="1:4" x14ac:dyDescent="0.3">
      <c r="A147" s="1" t="str">
        <f>'Приборы учета'!C385</f>
        <v>23_11032798</v>
      </c>
      <c r="B147" s="2">
        <f>'Приборы учета'!F385</f>
        <v>0.20499999999999999</v>
      </c>
      <c r="C147" s="2">
        <f>'Приборы учета'!G385</f>
        <v>0.34300000000000003</v>
      </c>
      <c r="D147" s="2">
        <f t="shared" si="2"/>
        <v>0.13800000000000004</v>
      </c>
    </row>
    <row r="148" spans="1:4" x14ac:dyDescent="0.3">
      <c r="A148" s="1" t="str">
        <f>'Приборы учета'!C393</f>
        <v>23_11043009</v>
      </c>
      <c r="B148" s="2">
        <f>'Приборы учета'!F393</f>
        <v>5.2999999999999999E-2</v>
      </c>
      <c r="C148" s="2">
        <f>'Приборы учета'!G393</f>
        <v>5.2999999999999999E-2</v>
      </c>
      <c r="D148" s="2">
        <f t="shared" si="2"/>
        <v>0</v>
      </c>
    </row>
    <row r="149" spans="1:4" x14ac:dyDescent="0.3">
      <c r="A149" s="1" t="str">
        <f>'Приборы учета'!C394</f>
        <v>23_11043008</v>
      </c>
      <c r="B149" s="2">
        <f>'Приборы учета'!F394</f>
        <v>0.32700000000000001</v>
      </c>
      <c r="C149" s="2">
        <f>'Приборы учета'!G394</f>
        <v>0.32700000000000001</v>
      </c>
      <c r="D149" s="2">
        <f t="shared" si="2"/>
        <v>0</v>
      </c>
    </row>
    <row r="150" spans="1:4" x14ac:dyDescent="0.3">
      <c r="A150" s="1" t="str">
        <f>'Приборы учета'!C395</f>
        <v>23_11031947</v>
      </c>
      <c r="B150" s="2">
        <f>'Приборы учета'!F395</f>
        <v>5.3999999999999999E-2</v>
      </c>
      <c r="C150" s="2">
        <f>'Приборы учета'!G395</f>
        <v>5.3999999999999999E-2</v>
      </c>
      <c r="D150" s="2">
        <f t="shared" si="2"/>
        <v>0</v>
      </c>
    </row>
    <row r="151" spans="1:4" x14ac:dyDescent="0.3">
      <c r="A151" s="1" t="str">
        <f>'Приборы учета'!C396</f>
        <v>23_11043005</v>
      </c>
      <c r="B151" s="2">
        <f>'Приборы учета'!F396</f>
        <v>0.44900000000000001</v>
      </c>
      <c r="C151" s="2">
        <f>'Приборы учета'!G396</f>
        <v>0.44900000000000001</v>
      </c>
      <c r="D151" s="2">
        <f t="shared" si="2"/>
        <v>0</v>
      </c>
    </row>
    <row r="152" spans="1:4" x14ac:dyDescent="0.3">
      <c r="A152" s="1" t="str">
        <f>'Приборы учета'!C397</f>
        <v>23_11031083</v>
      </c>
      <c r="B152" s="2">
        <f>'Приборы учета'!F397</f>
        <v>0.48599999999999999</v>
      </c>
      <c r="C152" s="2">
        <f>'Приборы учета'!G397</f>
        <v>0.48599999999999999</v>
      </c>
      <c r="D152" s="2">
        <f t="shared" si="2"/>
        <v>0</v>
      </c>
    </row>
    <row r="153" spans="1:4" x14ac:dyDescent="0.3">
      <c r="A153" s="1" t="str">
        <f>'Приборы учета'!C405</f>
        <v>23_11043003</v>
      </c>
      <c r="B153" s="2">
        <f>'Приборы учета'!F405</f>
        <v>0.109</v>
      </c>
      <c r="C153" s="2">
        <f>'Приборы учета'!G405</f>
        <v>0.109</v>
      </c>
      <c r="D153" s="2">
        <f t="shared" si="2"/>
        <v>0</v>
      </c>
    </row>
    <row r="154" spans="1:4" x14ac:dyDescent="0.3">
      <c r="A154" s="1" t="str">
        <f>'Приборы учета'!C406</f>
        <v>23_11043001</v>
      </c>
      <c r="B154" s="2">
        <f>'Приборы учета'!F406</f>
        <v>2.1000000000000001E-2</v>
      </c>
      <c r="C154" s="2">
        <f>'Приборы учета'!G406</f>
        <v>2.1000000000000001E-2</v>
      </c>
      <c r="D154" s="2">
        <f t="shared" si="2"/>
        <v>0</v>
      </c>
    </row>
    <row r="155" spans="1:4" x14ac:dyDescent="0.3">
      <c r="A155" s="1" t="str">
        <f>'Приборы учета'!C407</f>
        <v>23_11031095</v>
      </c>
      <c r="B155" s="2">
        <f>'Приборы учета'!F407</f>
        <v>0.182</v>
      </c>
      <c r="C155" s="2">
        <f>'Приборы учета'!G407</f>
        <v>0.182</v>
      </c>
      <c r="D155" s="2">
        <f t="shared" si="2"/>
        <v>0</v>
      </c>
    </row>
    <row r="156" spans="1:4" x14ac:dyDescent="0.3">
      <c r="A156" s="1" t="str">
        <f>'Приборы учета'!C408</f>
        <v>23_11043004</v>
      </c>
      <c r="B156" s="2">
        <f>'Приборы учета'!F408</f>
        <v>0.158</v>
      </c>
      <c r="C156" s="2">
        <f>'Приборы учета'!G408</f>
        <v>0.158</v>
      </c>
      <c r="D156" s="2">
        <f t="shared" si="2"/>
        <v>0</v>
      </c>
    </row>
    <row r="157" spans="1:4" x14ac:dyDescent="0.3">
      <c r="A157" s="1" t="str">
        <f>'Приборы учета'!C409</f>
        <v>23_11081644</v>
      </c>
      <c r="B157" s="2">
        <f>'Приборы учета'!F409</f>
        <v>0.93400000000000005</v>
      </c>
      <c r="C157" s="2">
        <f>'Приборы учета'!G409</f>
        <v>0.93400000000000005</v>
      </c>
      <c r="D157" s="2">
        <f t="shared" si="2"/>
        <v>0</v>
      </c>
    </row>
    <row r="158" spans="1:4" x14ac:dyDescent="0.3">
      <c r="A158" s="1" t="str">
        <f>'Приборы учета'!C417</f>
        <v>23_10971032</v>
      </c>
      <c r="B158" s="2">
        <f>'Приборы учета'!F417</f>
        <v>0.34699999999999998</v>
      </c>
      <c r="C158" s="2">
        <f>'Приборы учета'!G417</f>
        <v>0.34699999999999998</v>
      </c>
      <c r="D158" s="2">
        <f t="shared" si="2"/>
        <v>0</v>
      </c>
    </row>
    <row r="159" spans="1:4" x14ac:dyDescent="0.3">
      <c r="A159" s="1" t="str">
        <f>'Приборы учета'!C418</f>
        <v>23_11032660</v>
      </c>
      <c r="B159" s="2">
        <f>'Приборы учета'!F418</f>
        <v>20.582000000000001</v>
      </c>
      <c r="C159" s="2">
        <f>'Приборы учета'!G418</f>
        <v>20.582000000000001</v>
      </c>
      <c r="D159" s="2">
        <f t="shared" si="2"/>
        <v>0</v>
      </c>
    </row>
    <row r="160" spans="1:4" x14ac:dyDescent="0.3">
      <c r="A160" s="1" t="str">
        <f>'Приборы учета'!C419</f>
        <v>23_11029463</v>
      </c>
      <c r="B160" s="2">
        <f>'Приборы учета'!F419</f>
        <v>5.0999999999999997E-2</v>
      </c>
      <c r="C160" s="2">
        <f>'Приборы учета'!G419</f>
        <v>5.0999999999999997E-2</v>
      </c>
      <c r="D160" s="2">
        <f t="shared" si="2"/>
        <v>0</v>
      </c>
    </row>
    <row r="161" spans="1:4" x14ac:dyDescent="0.3">
      <c r="A161" s="1" t="str">
        <f>'Приборы учета'!C420</f>
        <v>23_11031117</v>
      </c>
      <c r="B161" s="2">
        <f>'Приборы учета'!F420</f>
        <v>283.85700000000003</v>
      </c>
      <c r="C161" s="2">
        <f>'Приборы учета'!G420</f>
        <v>283.85700000000003</v>
      </c>
      <c r="D161" s="2">
        <f t="shared" si="2"/>
        <v>0</v>
      </c>
    </row>
    <row r="162" spans="1:4" x14ac:dyDescent="0.3">
      <c r="A162" s="1" t="str">
        <f>'Приборы учета'!C421</f>
        <v>23_11035721</v>
      </c>
      <c r="B162" s="2">
        <f>'Приборы учета'!F421</f>
        <v>0.82899999999999996</v>
      </c>
      <c r="C162" s="2">
        <f>'Приборы учета'!G421</f>
        <v>0.82899999999999996</v>
      </c>
      <c r="D162" s="2">
        <f t="shared" si="2"/>
        <v>0</v>
      </c>
    </row>
    <row r="163" spans="1:4" x14ac:dyDescent="0.3">
      <c r="A163" s="1" t="str">
        <f>'Приборы учета'!C429</f>
        <v>23_11035719</v>
      </c>
      <c r="B163" s="2">
        <f>'Приборы учета'!F429</f>
        <v>0</v>
      </c>
      <c r="C163" s="2">
        <f>'Приборы учета'!G429</f>
        <v>0</v>
      </c>
      <c r="D163" s="2">
        <f t="shared" si="2"/>
        <v>0</v>
      </c>
    </row>
    <row r="164" spans="1:4" x14ac:dyDescent="0.3">
      <c r="A164" s="1" t="str">
        <f>'Приборы учета'!C430</f>
        <v>23_10978922</v>
      </c>
      <c r="B164" s="2">
        <f>'Приборы учета'!F430</f>
        <v>0.35199999999999998</v>
      </c>
      <c r="C164" s="2">
        <f>'Приборы учета'!G430</f>
        <v>0.35199999999999998</v>
      </c>
      <c r="D164" s="2">
        <f t="shared" si="2"/>
        <v>0</v>
      </c>
    </row>
    <row r="165" spans="1:4" x14ac:dyDescent="0.3">
      <c r="A165" s="1" t="str">
        <f>'Приборы учета'!C431</f>
        <v>23_10983832</v>
      </c>
      <c r="B165" s="2">
        <f>'Приборы учета'!F431</f>
        <v>6.5000000000000002E-2</v>
      </c>
      <c r="C165" s="2">
        <f>'Приборы учета'!G431</f>
        <v>6.5000000000000002E-2</v>
      </c>
      <c r="D165" s="2">
        <f t="shared" si="2"/>
        <v>0</v>
      </c>
    </row>
    <row r="166" spans="1:4" x14ac:dyDescent="0.3">
      <c r="A166" s="1" t="str">
        <f>'Приборы учета'!C432</f>
        <v>23_11081502</v>
      </c>
      <c r="B166" s="2">
        <f>'Приборы учета'!F432</f>
        <v>0.79400000000000004</v>
      </c>
      <c r="C166" s="2">
        <f>'Приборы учета'!G432</f>
        <v>0.79400000000000004</v>
      </c>
      <c r="D166" s="2">
        <f t="shared" si="2"/>
        <v>0</v>
      </c>
    </row>
    <row r="167" spans="1:4" x14ac:dyDescent="0.3">
      <c r="A167" s="1" t="str">
        <f>'Приборы учета'!C433</f>
        <v>23_11035724</v>
      </c>
      <c r="B167" s="2">
        <f>'Приборы учета'!F433</f>
        <v>2.1000000000000001E-2</v>
      </c>
      <c r="C167" s="2">
        <f>'Приборы учета'!G433</f>
        <v>2.1000000000000001E-2</v>
      </c>
      <c r="D167" s="2">
        <f t="shared" si="2"/>
        <v>0</v>
      </c>
    </row>
    <row r="168" spans="1:4" x14ac:dyDescent="0.3">
      <c r="A168" s="1" t="str">
        <f>'Приборы учета'!C441</f>
        <v>23_11035727</v>
      </c>
      <c r="B168" s="2">
        <f>'Приборы учета'!F441</f>
        <v>1.157</v>
      </c>
      <c r="C168" s="2">
        <f>'Приборы учета'!G441</f>
        <v>1.1679999999999999</v>
      </c>
      <c r="D168" s="2">
        <f t="shared" si="2"/>
        <v>1.0999999999999899E-2</v>
      </c>
    </row>
    <row r="169" spans="1:4" x14ac:dyDescent="0.3">
      <c r="A169" s="1" t="str">
        <f>'Приборы учета'!C442</f>
        <v>23_11081986</v>
      </c>
      <c r="B169" s="2">
        <f>'Приборы учета'!F442</f>
        <v>0.157</v>
      </c>
      <c r="C169" s="2">
        <f>'Приборы учета'!G442</f>
        <v>0.157</v>
      </c>
      <c r="D169" s="2">
        <f t="shared" si="2"/>
        <v>0</v>
      </c>
    </row>
    <row r="170" spans="1:4" x14ac:dyDescent="0.3">
      <c r="A170" s="1" t="str">
        <f>'Приборы учета'!C443</f>
        <v>23_11035729</v>
      </c>
      <c r="B170" s="2">
        <f>'Приборы учета'!F443</f>
        <v>0.40600000000000003</v>
      </c>
      <c r="C170" s="2">
        <f>'Приборы учета'!G443</f>
        <v>0.40600000000000003</v>
      </c>
      <c r="D170" s="2">
        <f t="shared" si="2"/>
        <v>0</v>
      </c>
    </row>
    <row r="171" spans="1:4" x14ac:dyDescent="0.3">
      <c r="A171" s="1" t="str">
        <f>'Приборы учета'!C444</f>
        <v>23_11035733</v>
      </c>
      <c r="B171" s="2">
        <f>'Приборы учета'!F444</f>
        <v>8.0000000000000002E-3</v>
      </c>
      <c r="C171" s="2">
        <f>'Приборы учета'!G444</f>
        <v>8.0000000000000002E-3</v>
      </c>
      <c r="D171" s="2">
        <f t="shared" si="2"/>
        <v>0</v>
      </c>
    </row>
    <row r="172" spans="1:4" x14ac:dyDescent="0.3">
      <c r="A172" s="1" t="str">
        <f>'Приборы учета'!C445</f>
        <v>23_11035735</v>
      </c>
      <c r="B172" s="2">
        <f>'Приборы учета'!F445</f>
        <v>0.39400000000000002</v>
      </c>
      <c r="C172" s="2">
        <f>'Приборы учета'!G445</f>
        <v>0.40600000000000003</v>
      </c>
      <c r="D172" s="2">
        <f t="shared" si="2"/>
        <v>1.2000000000000011E-2</v>
      </c>
    </row>
    <row r="177" spans="1:4" x14ac:dyDescent="0.3">
      <c r="A177" s="28" t="s">
        <v>277</v>
      </c>
      <c r="B177" s="2"/>
      <c r="C177" s="2"/>
      <c r="D177" s="69">
        <f>SUM(D2:D172)</f>
        <v>245.303</v>
      </c>
    </row>
    <row r="179" spans="1:4" x14ac:dyDescent="0.3">
      <c r="A179" s="15" t="s">
        <v>361</v>
      </c>
      <c r="B179" s="55"/>
      <c r="C179" s="55"/>
      <c r="D179" s="70">
        <f>SUM(D2:D10)</f>
        <v>19.882999999999996</v>
      </c>
    </row>
    <row r="181" spans="1:4" x14ac:dyDescent="0.3">
      <c r="A181" s="15" t="s">
        <v>362</v>
      </c>
      <c r="B181" s="55"/>
      <c r="C181" s="55"/>
      <c r="D181" s="70">
        <f>D12+D18+D21+D35+D43+D47+D51+D52+D54+D57+D58+D68+D69+D71+D72+D73+D74+D75+D76+D77+D81+D90+D94+D95+D99+D100+D104+D107+D108+D122+D136+D147+D168+D172</f>
        <v>225.42000000000002</v>
      </c>
    </row>
    <row r="183" spans="1:4" x14ac:dyDescent="0.3">
      <c r="A183" s="16" t="s">
        <v>363</v>
      </c>
      <c r="B183" s="56"/>
      <c r="C183" s="56"/>
      <c r="D183" s="70">
        <f>D179+D181</f>
        <v>245.303</v>
      </c>
    </row>
    <row r="184" spans="1:4" x14ac:dyDescent="0.3">
      <c r="A184" s="13"/>
      <c r="D184" s="14"/>
    </row>
    <row r="185" spans="1:4" x14ac:dyDescent="0.3">
      <c r="A185" s="13" t="s">
        <v>364</v>
      </c>
      <c r="D185" s="70">
        <f>D177-D183</f>
        <v>0</v>
      </c>
    </row>
  </sheetData>
  <conditionalFormatting sqref="D1:D1048576 K152">
    <cfRule type="cellIs" dxfId="3" priority="1" operator="lessThan">
      <formula>0</formula>
    </cfRule>
  </conditionalFormatting>
  <conditionalFormatting sqref="D2:D172">
    <cfRule type="cellIs" dxfId="2" priority="2" operator="greaterThan">
      <formula>0</formula>
    </cfRule>
  </conditionalFormatting>
  <pageMargins left="0.7" right="0.7" top="0.75" bottom="0.75" header="0.3" footer="0.3"/>
  <pageSetup paperSize="9" scale="8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5E2D-2C4E-46FD-8D90-7809A3A9DAA0}">
  <sheetPr>
    <pageSetUpPr fitToPage="1"/>
  </sheetPr>
  <dimension ref="A1:D184"/>
  <sheetViews>
    <sheetView tabSelected="1" zoomScaleNormal="100" zoomScaleSheetLayoutView="115" workbookViewId="0">
      <selection activeCell="F178" sqref="F178"/>
    </sheetView>
  </sheetViews>
  <sheetFormatPr defaultRowHeight="14.4" x14ac:dyDescent="0.3"/>
  <cols>
    <col min="1" max="1" width="43.5546875" customWidth="1"/>
    <col min="2" max="3" width="21.6640625" style="43" customWidth="1"/>
    <col min="4" max="4" width="18.6640625" style="43" customWidth="1"/>
  </cols>
  <sheetData>
    <row r="1" spans="1:4" ht="28.8" x14ac:dyDescent="0.3">
      <c r="A1" s="7" t="s">
        <v>2</v>
      </c>
      <c r="B1" s="53" t="s">
        <v>252</v>
      </c>
      <c r="C1" s="57" t="s">
        <v>253</v>
      </c>
      <c r="D1" s="53" t="s">
        <v>256</v>
      </c>
    </row>
    <row r="2" spans="1:4" x14ac:dyDescent="0.3">
      <c r="A2" s="4" t="str">
        <f>'Приборы учета'!$C$3</f>
        <v>23_11031554</v>
      </c>
      <c r="B2" s="2">
        <f>'Приборы учета'!F3</f>
        <v>0.316</v>
      </c>
      <c r="C2" s="8">
        <f>'Приборы учета'!G3</f>
        <v>0.40699999999999997</v>
      </c>
      <c r="D2" s="2">
        <f>C2-B2</f>
        <v>9.099999999999997E-2</v>
      </c>
    </row>
    <row r="3" spans="1:4" x14ac:dyDescent="0.3">
      <c r="A3" s="4" t="str">
        <f>'Приборы учета'!$C$6</f>
        <v>25_15399810</v>
      </c>
      <c r="B3" s="2">
        <f>'Приборы учета'!F6</f>
        <v>6.0000000000000001E-3</v>
      </c>
      <c r="C3" s="8">
        <f>'Приборы учета'!G6</f>
        <v>6.0000000000000001E-3</v>
      </c>
      <c r="D3" s="2">
        <f t="shared" ref="D3:D67" si="0">C3-B3</f>
        <v>0</v>
      </c>
    </row>
    <row r="4" spans="1:4" x14ac:dyDescent="0.3">
      <c r="A4" s="4" t="str">
        <f>'Приборы учета'!$C$12</f>
        <v>25_15145868</v>
      </c>
      <c r="B4" s="2">
        <f>'Приборы учета'!F12</f>
        <v>0.249</v>
      </c>
      <c r="C4" s="8">
        <f>'Приборы учета'!G12</f>
        <v>0.54900000000000004</v>
      </c>
      <c r="D4" s="2">
        <f t="shared" si="0"/>
        <v>0.30000000000000004</v>
      </c>
    </row>
    <row r="5" spans="1:4" x14ac:dyDescent="0.3">
      <c r="A5" s="4" t="str">
        <f>'Приборы учета'!$C$16</f>
        <v>25_15145861</v>
      </c>
      <c r="B5" s="2">
        <f>'Приборы учета'!F16</f>
        <v>0.151</v>
      </c>
      <c r="C5" s="8">
        <f>'Приборы учета'!G16</f>
        <v>0.16200000000000001</v>
      </c>
      <c r="D5" s="2">
        <f t="shared" si="0"/>
        <v>1.100000000000001E-2</v>
      </c>
    </row>
    <row r="6" spans="1:4" x14ac:dyDescent="0.3">
      <c r="A6" s="4">
        <f>'Приборы учета'!$C$19</f>
        <v>11081527</v>
      </c>
      <c r="B6" s="2">
        <f>'Приборы учета'!F19</f>
        <v>1.2999999999999999E-2</v>
      </c>
      <c r="C6" s="8">
        <f>'Приборы учета'!G19</f>
        <v>4.016</v>
      </c>
      <c r="D6" s="2">
        <f t="shared" si="0"/>
        <v>4.0030000000000001</v>
      </c>
    </row>
    <row r="7" spans="1:4" x14ac:dyDescent="0.3">
      <c r="A7" s="4" t="str">
        <f>'Приборы учета'!$C$23</f>
        <v>23_11081507</v>
      </c>
      <c r="B7" s="2">
        <f>'Приборы учета'!F23</f>
        <v>3.2000000000000001E-2</v>
      </c>
      <c r="C7" s="8">
        <f>'Приборы учета'!G23</f>
        <v>3.2000000000000001E-2</v>
      </c>
      <c r="D7" s="2">
        <f t="shared" si="0"/>
        <v>0</v>
      </c>
    </row>
    <row r="8" spans="1:4" x14ac:dyDescent="0.3">
      <c r="A8" s="4" t="str">
        <f>'Приборы учета'!$C$26</f>
        <v>25_15140861</v>
      </c>
      <c r="B8" s="3">
        <f>'Приборы учета'!F26</f>
        <v>0.41899999999999998</v>
      </c>
      <c r="C8" s="8">
        <f>'Приборы учета'!G26</f>
        <v>0.41899999999999998</v>
      </c>
      <c r="D8" s="2">
        <f t="shared" si="0"/>
        <v>0</v>
      </c>
    </row>
    <row r="9" spans="1:4" x14ac:dyDescent="0.3">
      <c r="A9" s="4" t="str">
        <f>'Приборы учета'!$C$30</f>
        <v>25_15145848</v>
      </c>
      <c r="B9" s="2">
        <f>'Приборы учета'!F30</f>
        <v>3.1E-2</v>
      </c>
      <c r="C9" s="8">
        <f>'Приборы учета'!G30</f>
        <v>3.1E-2</v>
      </c>
      <c r="D9" s="2">
        <f t="shared" si="0"/>
        <v>0</v>
      </c>
    </row>
    <row r="10" spans="1:4" x14ac:dyDescent="0.3">
      <c r="A10" s="4" t="str">
        <f>'Приборы учета'!$C$33</f>
        <v>23_11081985</v>
      </c>
      <c r="B10" s="2">
        <f>'Приборы учета'!F33</f>
        <v>1.6E-2</v>
      </c>
      <c r="C10" s="8">
        <f>'Приборы учета'!G33</f>
        <v>1.6E-2</v>
      </c>
      <c r="D10" s="2">
        <f t="shared" si="0"/>
        <v>0</v>
      </c>
    </row>
    <row r="11" spans="1:4" x14ac:dyDescent="0.3">
      <c r="A11" s="4" t="str">
        <f>'Приборы учета'!$C$36</f>
        <v>23_10968965</v>
      </c>
      <c r="B11" s="2">
        <f>'Приборы учета'!F36</f>
        <v>0.17399999999999999</v>
      </c>
      <c r="C11" s="8">
        <f>'Приборы учета'!G36</f>
        <v>0.17399999999999999</v>
      </c>
      <c r="D11" s="2">
        <f t="shared" si="0"/>
        <v>0</v>
      </c>
    </row>
    <row r="12" spans="1:4" x14ac:dyDescent="0.3">
      <c r="A12" s="4" t="str">
        <f>'Приборы учета'!$C$39</f>
        <v>23_10968073</v>
      </c>
      <c r="B12" s="2">
        <f>'Приборы учета'!F39</f>
        <v>0.39800000000000002</v>
      </c>
      <c r="C12" s="8">
        <f>'Приборы учета'!G39</f>
        <v>0.39800000000000002</v>
      </c>
      <c r="D12" s="2">
        <f t="shared" si="0"/>
        <v>0</v>
      </c>
    </row>
    <row r="13" spans="1:4" x14ac:dyDescent="0.3">
      <c r="A13" s="4" t="str">
        <f>'Приборы учета'!$C$42</f>
        <v>23_10970618</v>
      </c>
      <c r="B13" s="2">
        <f>'Приборы учета'!F42</f>
        <v>0.01</v>
      </c>
      <c r="C13" s="8">
        <f>'Приборы учета'!G42</f>
        <v>0.01</v>
      </c>
      <c r="D13" s="2">
        <f t="shared" si="0"/>
        <v>0</v>
      </c>
    </row>
    <row r="14" spans="1:4" x14ac:dyDescent="0.3">
      <c r="A14" s="4" t="str">
        <f>'Приборы учета'!$C$45</f>
        <v>23_10971551</v>
      </c>
      <c r="B14" s="2">
        <f>'Приборы учета'!F45</f>
        <v>8.0000000000000002E-3</v>
      </c>
      <c r="C14" s="8">
        <f>'Приборы учета'!G45</f>
        <v>8.0000000000000002E-3</v>
      </c>
      <c r="D14" s="2">
        <f t="shared" si="0"/>
        <v>0</v>
      </c>
    </row>
    <row r="15" spans="1:4" x14ac:dyDescent="0.3">
      <c r="A15" s="4" t="str">
        <f>'Приборы учета'!$C$48</f>
        <v>23_10968020</v>
      </c>
      <c r="B15" s="2">
        <f>'Приборы учета'!F48</f>
        <v>7.6999999999999999E-2</v>
      </c>
      <c r="C15" s="8">
        <f>'Приборы учета'!G48</f>
        <v>7.6999999999999999E-2</v>
      </c>
      <c r="D15" s="2">
        <f t="shared" si="0"/>
        <v>0</v>
      </c>
    </row>
    <row r="16" spans="1:4" x14ac:dyDescent="0.3">
      <c r="A16" s="4" t="str">
        <f>'Приборы учета'!$C$51</f>
        <v>23_10967997</v>
      </c>
      <c r="B16" s="2">
        <f>'Приборы учета'!F51</f>
        <v>8.0000000000000002E-3</v>
      </c>
      <c r="C16" s="8">
        <f>'Приборы учета'!G51</f>
        <v>8.0000000000000002E-3</v>
      </c>
      <c r="D16" s="2">
        <f t="shared" si="0"/>
        <v>0</v>
      </c>
    </row>
    <row r="17" spans="1:4" x14ac:dyDescent="0.3">
      <c r="A17" s="4">
        <f>'Приборы учета'!$C$54</f>
        <v>11043830</v>
      </c>
      <c r="B17" s="2">
        <f>'Приборы учета'!F54</f>
        <v>4.5999999999999999E-2</v>
      </c>
      <c r="C17" s="8">
        <f>'Приборы учета'!G54</f>
        <v>0.46</v>
      </c>
      <c r="D17" s="2">
        <f t="shared" si="0"/>
        <v>0.41400000000000003</v>
      </c>
    </row>
    <row r="18" spans="1:4" x14ac:dyDescent="0.3">
      <c r="A18" s="4">
        <f>'Приборы учета'!$C$57</f>
        <v>11039686</v>
      </c>
      <c r="B18" s="2">
        <f>'Приборы учета'!F57</f>
        <v>1.6E-2</v>
      </c>
      <c r="C18" s="8">
        <f>'Приборы учета'!G57</f>
        <v>1.6E-2</v>
      </c>
      <c r="D18" s="2">
        <f t="shared" si="0"/>
        <v>0</v>
      </c>
    </row>
    <row r="19" spans="1:4" x14ac:dyDescent="0.3">
      <c r="A19" s="4">
        <f>'Приборы учета'!$C$60</f>
        <v>11039709</v>
      </c>
      <c r="B19" s="2">
        <f>'Приборы учета'!F60</f>
        <v>0.01</v>
      </c>
      <c r="C19" s="8">
        <f>'Приборы учета'!G60</f>
        <v>0.01</v>
      </c>
      <c r="D19" s="2">
        <f t="shared" si="0"/>
        <v>0</v>
      </c>
    </row>
    <row r="20" spans="1:4" x14ac:dyDescent="0.3">
      <c r="A20" s="4">
        <f>'Приборы учета'!$C$63</f>
        <v>10972469</v>
      </c>
      <c r="B20" s="2">
        <f>'Приборы учета'!F63</f>
        <v>1.2E-2</v>
      </c>
      <c r="C20" s="8">
        <f>'Приборы учета'!G63</f>
        <v>2.5999999999999999E-2</v>
      </c>
      <c r="D20" s="2">
        <f t="shared" si="0"/>
        <v>1.3999999999999999E-2</v>
      </c>
    </row>
    <row r="21" spans="1:4" x14ac:dyDescent="0.3">
      <c r="A21" s="4">
        <f>'Приборы учета'!$C$66</f>
        <v>10972533</v>
      </c>
      <c r="B21" s="2">
        <f>'Приборы учета'!F66</f>
        <v>0.4</v>
      </c>
      <c r="C21" s="8">
        <f>'Приборы учета'!G66</f>
        <v>0.4</v>
      </c>
      <c r="D21" s="2">
        <f t="shared" si="0"/>
        <v>0</v>
      </c>
    </row>
    <row r="22" spans="1:4" x14ac:dyDescent="0.3">
      <c r="A22" s="4">
        <f>'Приборы учета'!$C$69</f>
        <v>10968464</v>
      </c>
      <c r="B22" s="2">
        <f>'Приборы учета'!F69</f>
        <v>0.23</v>
      </c>
      <c r="C22" s="8">
        <f>'Приборы учета'!G69</f>
        <v>0.23</v>
      </c>
      <c r="D22" s="2">
        <f t="shared" si="0"/>
        <v>0</v>
      </c>
    </row>
    <row r="23" spans="1:4" x14ac:dyDescent="0.3">
      <c r="A23" s="4">
        <f>'Приборы учета'!$C$72</f>
        <v>11466533</v>
      </c>
      <c r="B23" s="2">
        <f>'Приборы учета'!F72</f>
        <v>1.4999999999999999E-2</v>
      </c>
      <c r="C23" s="8">
        <f>'Приборы учета'!G72</f>
        <v>1.4999999999999999E-2</v>
      </c>
      <c r="D23" s="2">
        <f t="shared" si="0"/>
        <v>0</v>
      </c>
    </row>
    <row r="24" spans="1:4" x14ac:dyDescent="0.3">
      <c r="A24" s="4">
        <f>'Приборы учета'!$C$75</f>
        <v>11081566</v>
      </c>
      <c r="B24" s="2">
        <f>'Приборы учета'!F75</f>
        <v>0.03</v>
      </c>
      <c r="C24" s="8">
        <f>'Приборы учета'!G75</f>
        <v>0.03</v>
      </c>
      <c r="D24" s="2">
        <f t="shared" si="0"/>
        <v>0</v>
      </c>
    </row>
    <row r="25" spans="1:4" x14ac:dyDescent="0.3">
      <c r="A25" s="4">
        <f>'Приборы учета'!$C$78</f>
        <v>10968587</v>
      </c>
      <c r="B25" s="2">
        <f>'Приборы учета'!F78</f>
        <v>0.06</v>
      </c>
      <c r="C25" s="8">
        <f>'Приборы учета'!G78</f>
        <v>0.06</v>
      </c>
      <c r="D25" s="2">
        <f t="shared" si="0"/>
        <v>0</v>
      </c>
    </row>
    <row r="26" spans="1:4" x14ac:dyDescent="0.3">
      <c r="A26" s="4">
        <f>'Приборы учета'!$C$81</f>
        <v>11466680</v>
      </c>
      <c r="B26" s="2">
        <f>'Приборы учета'!F81</f>
        <v>5.8999999999999997E-2</v>
      </c>
      <c r="C26" s="8">
        <f>'Приборы учета'!G81</f>
        <v>5.8999999999999997E-2</v>
      </c>
      <c r="D26" s="2">
        <f t="shared" si="0"/>
        <v>0</v>
      </c>
    </row>
    <row r="27" spans="1:4" x14ac:dyDescent="0.3">
      <c r="A27" s="4">
        <f>'Приборы учета'!$C$84</f>
        <v>9008723</v>
      </c>
      <c r="B27" s="2">
        <f>'Приборы учета'!F84</f>
        <v>0.01</v>
      </c>
      <c r="C27" s="8">
        <f>'Приборы учета'!G84</f>
        <v>0.01</v>
      </c>
      <c r="D27" s="2">
        <f t="shared" si="0"/>
        <v>0</v>
      </c>
    </row>
    <row r="28" spans="1:4" x14ac:dyDescent="0.3">
      <c r="A28" s="4">
        <f>'Приборы учета'!$C$87</f>
        <v>11466462</v>
      </c>
      <c r="B28" s="2">
        <f>'Приборы учета'!F87</f>
        <v>0.1</v>
      </c>
      <c r="C28" s="8">
        <f>'Приборы учета'!G87</f>
        <v>0.1</v>
      </c>
      <c r="D28" s="2">
        <f t="shared" si="0"/>
        <v>0</v>
      </c>
    </row>
    <row r="29" spans="1:4" x14ac:dyDescent="0.3">
      <c r="A29" s="4">
        <f>'Приборы учета'!$C$90</f>
        <v>11466666</v>
      </c>
      <c r="B29" s="2">
        <f>'Приборы учета'!F90</f>
        <v>0.15</v>
      </c>
      <c r="C29" s="8">
        <f>'Приборы учета'!G90</f>
        <v>0.15</v>
      </c>
      <c r="D29" s="2">
        <f t="shared" si="0"/>
        <v>0</v>
      </c>
    </row>
    <row r="30" spans="1:4" x14ac:dyDescent="0.3">
      <c r="A30" s="4">
        <f>'Приборы учета'!$C$93</f>
        <v>11466541</v>
      </c>
      <c r="B30" s="2">
        <f>'Приборы учета'!F93</f>
        <v>0.28000000000000003</v>
      </c>
      <c r="C30" s="8">
        <f>'Приборы учета'!G93</f>
        <v>0.28000000000000003</v>
      </c>
      <c r="D30" s="2">
        <f t="shared" si="0"/>
        <v>0</v>
      </c>
    </row>
    <row r="31" spans="1:4" x14ac:dyDescent="0.3">
      <c r="A31" s="4">
        <f>'Приборы учета'!$C$96</f>
        <v>11466544</v>
      </c>
      <c r="B31" s="2">
        <f>'Приборы учета'!F96</f>
        <v>0.08</v>
      </c>
      <c r="C31" s="8">
        <f>'Приборы учета'!G96</f>
        <v>0.08</v>
      </c>
      <c r="D31" s="2">
        <f t="shared" si="0"/>
        <v>0</v>
      </c>
    </row>
    <row r="32" spans="1:4" x14ac:dyDescent="0.3">
      <c r="A32" s="4">
        <f>'Приборы учета'!$C$99</f>
        <v>10970931</v>
      </c>
      <c r="B32" s="2">
        <f>'Приборы учета'!F99</f>
        <v>3.7999999999999999E-2</v>
      </c>
      <c r="C32" s="8">
        <f>'Приборы учета'!G99</f>
        <v>3.7999999999999999E-2</v>
      </c>
      <c r="D32" s="2">
        <f t="shared" si="0"/>
        <v>0</v>
      </c>
    </row>
    <row r="33" spans="1:4" x14ac:dyDescent="0.3">
      <c r="A33" s="4">
        <f>'Приборы учета'!$C$102</f>
        <v>11466269</v>
      </c>
      <c r="B33" s="2">
        <f>'Приборы учета'!F102</f>
        <v>0.16</v>
      </c>
      <c r="C33" s="8">
        <f>'Приборы учета'!G102</f>
        <v>0.16</v>
      </c>
      <c r="D33" s="2">
        <f t="shared" si="0"/>
        <v>0</v>
      </c>
    </row>
    <row r="34" spans="1:4" x14ac:dyDescent="0.3">
      <c r="A34" s="4">
        <f>'Приборы учета'!$C$105</f>
        <v>10967261</v>
      </c>
      <c r="B34" s="2">
        <f>'Приборы учета'!F105</f>
        <v>1.6819999999999999</v>
      </c>
      <c r="C34" s="8">
        <f>'Приборы учета'!G105</f>
        <v>2.1030000000000002</v>
      </c>
      <c r="D34" s="2">
        <f t="shared" si="0"/>
        <v>0.42100000000000026</v>
      </c>
    </row>
    <row r="35" spans="1:4" x14ac:dyDescent="0.3">
      <c r="A35" s="4">
        <f>'Приборы учета'!$C$108</f>
        <v>12189381</v>
      </c>
      <c r="B35" s="2">
        <f>'Приборы учета'!F108</f>
        <v>4.9000000000000002E-2</v>
      </c>
      <c r="C35" s="8">
        <f>'Приборы учета'!G108</f>
        <v>4.9000000000000002E-2</v>
      </c>
      <c r="D35" s="2">
        <f t="shared" si="0"/>
        <v>0</v>
      </c>
    </row>
    <row r="36" spans="1:4" x14ac:dyDescent="0.3">
      <c r="A36" s="4">
        <f>'Приборы учета'!$C$111</f>
        <v>10971556</v>
      </c>
      <c r="B36" s="2">
        <f>'Приборы учета'!F111</f>
        <v>0</v>
      </c>
      <c r="C36" s="8">
        <f>'Приборы учета'!G111</f>
        <v>0</v>
      </c>
      <c r="D36" s="2">
        <f t="shared" si="0"/>
        <v>0</v>
      </c>
    </row>
    <row r="37" spans="1:4" x14ac:dyDescent="0.3">
      <c r="A37" s="4">
        <f>'Приборы учета'!$C$114</f>
        <v>10969710</v>
      </c>
      <c r="B37" s="2">
        <f>'Приборы учета'!F114</f>
        <v>0.26</v>
      </c>
      <c r="C37" s="8">
        <f>'Приборы учета'!G114</f>
        <v>0.26</v>
      </c>
      <c r="D37" s="2">
        <f t="shared" si="0"/>
        <v>0</v>
      </c>
    </row>
    <row r="38" spans="1:4" x14ac:dyDescent="0.3">
      <c r="A38" s="4">
        <f>'Приборы учета'!$C$117</f>
        <v>10971560</v>
      </c>
      <c r="B38" s="2">
        <f>'Приборы учета'!F117</f>
        <v>0.316</v>
      </c>
      <c r="C38" s="8">
        <f>'Приборы учета'!G117</f>
        <v>0.316</v>
      </c>
      <c r="D38" s="2">
        <f t="shared" si="0"/>
        <v>0</v>
      </c>
    </row>
    <row r="39" spans="1:4" x14ac:dyDescent="0.3">
      <c r="A39" s="4">
        <f>'Приборы учета'!$C$120</f>
        <v>10966630</v>
      </c>
      <c r="B39" s="2">
        <f>'Приборы учета'!F120</f>
        <v>0.36</v>
      </c>
      <c r="C39" s="8">
        <f>'Приборы учета'!G120</f>
        <v>0.36</v>
      </c>
      <c r="D39" s="2">
        <f t="shared" si="0"/>
        <v>0</v>
      </c>
    </row>
    <row r="40" spans="1:4" x14ac:dyDescent="0.3">
      <c r="A40" s="4">
        <f>'Приборы учета'!$C$123</f>
        <v>10971759</v>
      </c>
      <c r="B40" s="2">
        <f>'Приборы учета'!F123</f>
        <v>0.88</v>
      </c>
      <c r="C40" s="8">
        <f>'Приборы учета'!G123</f>
        <v>0.88</v>
      </c>
      <c r="D40" s="2">
        <f t="shared" si="0"/>
        <v>0</v>
      </c>
    </row>
    <row r="41" spans="1:4" x14ac:dyDescent="0.3">
      <c r="A41" s="4">
        <f>'Приборы учета'!$C$126</f>
        <v>10971756</v>
      </c>
      <c r="B41" s="2">
        <f>'Приборы учета'!F126</f>
        <v>0.17</v>
      </c>
      <c r="C41" s="8">
        <f>'Приборы учета'!G126</f>
        <v>0.17</v>
      </c>
      <c r="D41" s="2">
        <f t="shared" si="0"/>
        <v>0</v>
      </c>
    </row>
    <row r="42" spans="1:4" x14ac:dyDescent="0.3">
      <c r="A42" s="4">
        <f>'Приборы учета'!$C$129</f>
        <v>10972648</v>
      </c>
      <c r="B42" s="2">
        <f>'Приборы учета'!F129</f>
        <v>0.29799999999999999</v>
      </c>
      <c r="C42" s="8">
        <f>'Приборы учета'!G129</f>
        <v>0.29799999999999999</v>
      </c>
      <c r="D42" s="2">
        <f t="shared" si="0"/>
        <v>0</v>
      </c>
    </row>
    <row r="43" spans="1:4" x14ac:dyDescent="0.3">
      <c r="A43" s="4">
        <f>'Приборы учета'!$C$132</f>
        <v>10970513</v>
      </c>
      <c r="B43" s="2">
        <f>'Приборы учета'!F132</f>
        <v>0.6</v>
      </c>
      <c r="C43" s="8">
        <f>'Приборы учета'!G132</f>
        <v>0.6</v>
      </c>
      <c r="D43" s="2">
        <f t="shared" si="0"/>
        <v>0</v>
      </c>
    </row>
    <row r="44" spans="1:4" x14ac:dyDescent="0.3">
      <c r="A44" s="4">
        <f>'Приборы учета'!$C$135</f>
        <v>10966658</v>
      </c>
      <c r="B44" s="2">
        <f>'Приборы учета'!F135</f>
        <v>2.6</v>
      </c>
      <c r="C44" s="8">
        <f>'Приборы учета'!G135</f>
        <v>2.6</v>
      </c>
      <c r="D44" s="2">
        <f t="shared" si="0"/>
        <v>0</v>
      </c>
    </row>
    <row r="45" spans="1:4" x14ac:dyDescent="0.3">
      <c r="A45" s="4">
        <f>'Приборы учета'!$C$138</f>
        <v>10968402</v>
      </c>
      <c r="B45" s="2">
        <f>'Приборы учета'!F138</f>
        <v>0.252</v>
      </c>
      <c r="C45" s="8">
        <f>'Приборы учета'!G138</f>
        <v>0.252</v>
      </c>
      <c r="D45" s="2">
        <f t="shared" si="0"/>
        <v>0</v>
      </c>
    </row>
    <row r="46" spans="1:4" x14ac:dyDescent="0.3">
      <c r="A46" s="4">
        <f>'Приборы учета'!$C$141</f>
        <v>10968011</v>
      </c>
      <c r="B46" s="2">
        <f>'Приборы учета'!F141</f>
        <v>0.61899999999999999</v>
      </c>
      <c r="C46" s="8">
        <f>'Приборы учета'!G141</f>
        <v>4.8879999999999999</v>
      </c>
      <c r="D46" s="2">
        <f t="shared" si="0"/>
        <v>4.2690000000000001</v>
      </c>
    </row>
    <row r="47" spans="1:4" x14ac:dyDescent="0.3">
      <c r="A47" s="4">
        <f>'Приборы учета'!$C$144</f>
        <v>10971938</v>
      </c>
      <c r="B47" s="2">
        <f>'Приборы учета'!F144</f>
        <v>0.28599999999999998</v>
      </c>
      <c r="C47" s="8">
        <f>'Приборы учета'!G144</f>
        <v>0.28599999999999998</v>
      </c>
      <c r="D47" s="2">
        <f t="shared" si="0"/>
        <v>0</v>
      </c>
    </row>
    <row r="48" spans="1:4" x14ac:dyDescent="0.3">
      <c r="A48" s="4">
        <f>'Приборы учета'!$C$147</f>
        <v>10968006</v>
      </c>
      <c r="B48" s="2">
        <f>'Приборы учета'!F147</f>
        <v>2.5049999999999999</v>
      </c>
      <c r="C48" s="8">
        <f>'Приборы учета'!G147</f>
        <v>2.5049999999999999</v>
      </c>
      <c r="D48" s="2">
        <f t="shared" si="0"/>
        <v>0</v>
      </c>
    </row>
    <row r="49" spans="1:4" x14ac:dyDescent="0.3">
      <c r="A49" s="4">
        <f>'Приборы учета'!$C$150</f>
        <v>10968012</v>
      </c>
      <c r="B49" s="2">
        <f>'Приборы учета'!F150</f>
        <v>0.06</v>
      </c>
      <c r="C49" s="8">
        <f>'Приборы учета'!G150</f>
        <v>0.06</v>
      </c>
      <c r="D49" s="2">
        <f t="shared" si="0"/>
        <v>0</v>
      </c>
    </row>
    <row r="50" spans="1:4" x14ac:dyDescent="0.3">
      <c r="A50" s="4">
        <f>'Приборы учета'!$C$153</f>
        <v>10972512</v>
      </c>
      <c r="B50" s="2">
        <f>'Приборы учета'!F153</f>
        <v>14.48</v>
      </c>
      <c r="C50" s="8">
        <f>'Приборы учета'!G153</f>
        <v>15.051</v>
      </c>
      <c r="D50" s="2">
        <f t="shared" si="0"/>
        <v>0.57099999999999973</v>
      </c>
    </row>
    <row r="51" spans="1:4" x14ac:dyDescent="0.3">
      <c r="A51" s="4">
        <f>'Приборы учета'!$C$156</f>
        <v>10968170</v>
      </c>
      <c r="B51" s="3">
        <f>'Приборы учета'!F156</f>
        <v>1.49</v>
      </c>
      <c r="C51" s="8">
        <f>'Приборы учета'!G156</f>
        <v>3.7789999999999999</v>
      </c>
      <c r="D51" s="2">
        <f t="shared" si="0"/>
        <v>2.2889999999999997</v>
      </c>
    </row>
    <row r="52" spans="1:4" x14ac:dyDescent="0.3">
      <c r="A52" s="4">
        <f>'Приборы учета'!$C$159</f>
        <v>10968583</v>
      </c>
      <c r="B52" s="3">
        <f>'Приборы учета'!F159</f>
        <v>1.345</v>
      </c>
      <c r="C52" s="8">
        <f>'Приборы учета'!G159</f>
        <v>1.345</v>
      </c>
      <c r="D52" s="2">
        <f t="shared" si="0"/>
        <v>0</v>
      </c>
    </row>
    <row r="53" spans="1:4" x14ac:dyDescent="0.3">
      <c r="A53" s="4">
        <f>'Приборы учета'!$C$162</f>
        <v>11466678</v>
      </c>
      <c r="B53" s="3">
        <f>'Приборы учета'!F162</f>
        <v>151.06</v>
      </c>
      <c r="C53" s="8">
        <f>'Приборы учета'!G162</f>
        <v>151.536</v>
      </c>
      <c r="D53" s="2">
        <f t="shared" si="0"/>
        <v>0.47599999999999909</v>
      </c>
    </row>
    <row r="54" spans="1:4" x14ac:dyDescent="0.3">
      <c r="A54" s="4">
        <f>'Приборы учета'!$C$165</f>
        <v>11466873</v>
      </c>
      <c r="B54" s="2">
        <f>'Приборы учета'!F165</f>
        <v>1.4999999999999999E-2</v>
      </c>
      <c r="C54" s="8">
        <f>'Приборы учета'!G165</f>
        <v>1.4999999999999999E-2</v>
      </c>
      <c r="D54" s="2">
        <f t="shared" si="0"/>
        <v>0</v>
      </c>
    </row>
    <row r="55" spans="1:4" x14ac:dyDescent="0.3">
      <c r="A55" s="4">
        <f>'Приборы учета'!$C$168</f>
        <v>10971715</v>
      </c>
      <c r="B55" s="3">
        <f>'Приборы учета'!F168</f>
        <v>6.1020000000000003</v>
      </c>
      <c r="C55" s="8">
        <f>'Приборы учета'!G168</f>
        <v>6.1020000000000003</v>
      </c>
      <c r="D55" s="2">
        <f t="shared" si="0"/>
        <v>0</v>
      </c>
    </row>
    <row r="56" spans="1:4" x14ac:dyDescent="0.3">
      <c r="A56" s="4">
        <f>'Приборы учета'!$C$171</f>
        <v>11466859</v>
      </c>
      <c r="B56" s="2">
        <f>'Приборы учета'!F171</f>
        <v>8.93</v>
      </c>
      <c r="C56" s="2">
        <f>'Приборы учета'!G171</f>
        <v>10.417999999999999</v>
      </c>
      <c r="D56" s="2">
        <f t="shared" si="0"/>
        <v>1.4879999999999995</v>
      </c>
    </row>
    <row r="57" spans="1:4" x14ac:dyDescent="0.3">
      <c r="A57" s="4" t="str">
        <f>'Приборы учета'!$C$174</f>
        <v>23_10971789</v>
      </c>
      <c r="B57" s="3">
        <f>'Приборы учета'!F174</f>
        <v>3.24</v>
      </c>
      <c r="C57" s="8">
        <f>'Приборы учета'!G174</f>
        <v>3.24</v>
      </c>
      <c r="D57" s="2">
        <f t="shared" si="0"/>
        <v>0</v>
      </c>
    </row>
    <row r="58" spans="1:4" x14ac:dyDescent="0.3">
      <c r="A58" s="4">
        <f>'Приборы учета'!C181</f>
        <v>11466682</v>
      </c>
      <c r="B58" s="3">
        <f>'Приборы учета'!F181</f>
        <v>0.08</v>
      </c>
      <c r="C58" s="8">
        <f>'Приборы учета'!G181</f>
        <v>0.08</v>
      </c>
      <c r="D58" s="2">
        <f t="shared" si="0"/>
        <v>0</v>
      </c>
    </row>
    <row r="59" spans="1:4" x14ac:dyDescent="0.3">
      <c r="A59" s="4">
        <f>'Приборы учета'!C182</f>
        <v>11466814</v>
      </c>
      <c r="B59" s="3">
        <f>'Приборы учета'!F182</f>
        <v>0.05</v>
      </c>
      <c r="C59" s="8">
        <f>'Приборы учета'!G182</f>
        <v>0.05</v>
      </c>
      <c r="D59" s="2">
        <f t="shared" si="0"/>
        <v>0</v>
      </c>
    </row>
    <row r="60" spans="1:4" x14ac:dyDescent="0.3">
      <c r="A60" s="4">
        <f>'Приборы учета'!C183</f>
        <v>11466734</v>
      </c>
      <c r="B60" s="3">
        <f>'Приборы учета'!F183</f>
        <v>5.8000000000000003E-2</v>
      </c>
      <c r="C60" s="8">
        <f>'Приборы учета'!G183</f>
        <v>5.8000000000000003E-2</v>
      </c>
      <c r="D60" s="2">
        <f t="shared" si="0"/>
        <v>0</v>
      </c>
    </row>
    <row r="61" spans="1:4" x14ac:dyDescent="0.3">
      <c r="A61" s="4">
        <f>'Приборы учета'!C184</f>
        <v>11466850</v>
      </c>
      <c r="B61" s="3">
        <f>'Приборы учета'!F184</f>
        <v>0.58399999999999996</v>
      </c>
      <c r="C61" s="8">
        <f>'Приборы учета'!G184</f>
        <v>0.58399999999999996</v>
      </c>
      <c r="D61" s="2">
        <f t="shared" si="0"/>
        <v>0</v>
      </c>
    </row>
    <row r="62" spans="1:4" x14ac:dyDescent="0.3">
      <c r="A62" s="4">
        <f>'Приборы учета'!C185</f>
        <v>11466738</v>
      </c>
      <c r="B62" s="3">
        <f>'Приборы учета'!F185</f>
        <v>0.27800000000000002</v>
      </c>
      <c r="C62" s="8">
        <f>'Приборы учета'!G185</f>
        <v>0.27800000000000002</v>
      </c>
      <c r="D62" s="2">
        <f t="shared" si="0"/>
        <v>0</v>
      </c>
    </row>
    <row r="63" spans="1:4" x14ac:dyDescent="0.3">
      <c r="A63" s="4">
        <f>'Приборы учета'!C193</f>
        <v>11466673</v>
      </c>
      <c r="B63" s="3">
        <f>'Приборы учета'!F193</f>
        <v>3.9E-2</v>
      </c>
      <c r="C63" s="8">
        <f>'Приборы учета'!G193</f>
        <v>3.9E-2</v>
      </c>
      <c r="D63" s="2">
        <f t="shared" si="0"/>
        <v>0</v>
      </c>
    </row>
    <row r="64" spans="1:4" x14ac:dyDescent="0.3">
      <c r="A64" s="4">
        <f>'Приборы учета'!C194</f>
        <v>10968495</v>
      </c>
      <c r="B64" s="3">
        <f>'Приборы учета'!F194</f>
        <v>4.2999999999999997E-2</v>
      </c>
      <c r="C64" s="8">
        <f>'Приборы учета'!G194</f>
        <v>4.2999999999999997E-2</v>
      </c>
      <c r="D64" s="2">
        <f t="shared" si="0"/>
        <v>0</v>
      </c>
    </row>
    <row r="65" spans="1:4" x14ac:dyDescent="0.3">
      <c r="A65" s="4">
        <f>'Приборы учета'!C195</f>
        <v>11466736</v>
      </c>
      <c r="B65" s="3">
        <f>'Приборы учета'!F195</f>
        <v>1.163</v>
      </c>
      <c r="C65" s="8">
        <f>'Приборы учета'!G195</f>
        <v>1.163</v>
      </c>
      <c r="D65" s="2">
        <f t="shared" si="0"/>
        <v>0</v>
      </c>
    </row>
    <row r="66" spans="1:4" x14ac:dyDescent="0.3">
      <c r="A66" s="4">
        <f>'Приборы учета'!C196</f>
        <v>11466857</v>
      </c>
      <c r="B66" s="3">
        <f>'Приборы учета'!F196</f>
        <v>0.21199999999999999</v>
      </c>
      <c r="C66" s="8">
        <f>'Приборы учета'!G196</f>
        <v>0.21199999999999999</v>
      </c>
      <c r="D66" s="2">
        <f t="shared" ref="D66" si="1">C66-B66</f>
        <v>0</v>
      </c>
    </row>
    <row r="67" spans="1:4" x14ac:dyDescent="0.3">
      <c r="A67" s="4">
        <f>'Приборы учета'!C197</f>
        <v>11466750</v>
      </c>
      <c r="B67" s="3">
        <f>'Приборы учета'!F197</f>
        <v>0.41799999999999998</v>
      </c>
      <c r="C67" s="8">
        <f>'Приборы учета'!G197</f>
        <v>0.67500000000000004</v>
      </c>
      <c r="D67" s="2">
        <f t="shared" si="0"/>
        <v>0.25700000000000006</v>
      </c>
    </row>
    <row r="68" spans="1:4" x14ac:dyDescent="0.3">
      <c r="A68" s="4" t="str">
        <f>'Приборы учета'!C205</f>
        <v>23_10978660</v>
      </c>
      <c r="B68" s="3">
        <f>'Приборы учета'!F205</f>
        <v>9.5000000000000001E-2</v>
      </c>
      <c r="C68" s="8">
        <f>'Приборы учета'!G205</f>
        <v>9.5000000000000001E-2</v>
      </c>
      <c r="D68" s="2">
        <f t="shared" ref="D68:D131" si="2">C68-B68</f>
        <v>0</v>
      </c>
    </row>
    <row r="69" spans="1:4" x14ac:dyDescent="0.3">
      <c r="A69" s="4" t="str">
        <f>'Приборы учета'!C206</f>
        <v>23_11043803</v>
      </c>
      <c r="B69" s="3">
        <f>'Приборы учета'!F206</f>
        <v>0.17499999999999999</v>
      </c>
      <c r="C69" s="8">
        <f>'Приборы учета'!G206</f>
        <v>1.272</v>
      </c>
      <c r="D69" s="2">
        <f t="shared" si="2"/>
        <v>1.097</v>
      </c>
    </row>
    <row r="70" spans="1:4" x14ac:dyDescent="0.3">
      <c r="A70" s="4" t="str">
        <f>'Приборы учета'!C207</f>
        <v>23_11030204</v>
      </c>
      <c r="B70" s="2">
        <f>'Приборы учета'!F207</f>
        <v>9.782</v>
      </c>
      <c r="C70" s="8">
        <f>'Приборы учета'!G207</f>
        <v>9.782</v>
      </c>
      <c r="D70" s="2">
        <f t="shared" si="2"/>
        <v>0</v>
      </c>
    </row>
    <row r="71" spans="1:4" x14ac:dyDescent="0.3">
      <c r="A71" s="4" t="str">
        <f>'Приборы учета'!C208</f>
        <v>23_11081964</v>
      </c>
      <c r="B71" s="3">
        <f>'Приборы учета'!F208</f>
        <v>20.532</v>
      </c>
      <c r="C71" s="8">
        <f>'Приборы учета'!G208</f>
        <v>20.532</v>
      </c>
      <c r="D71" s="2">
        <f t="shared" si="2"/>
        <v>0</v>
      </c>
    </row>
    <row r="72" spans="1:4" x14ac:dyDescent="0.3">
      <c r="A72" s="4" t="str">
        <f>'Приборы учета'!C209</f>
        <v>23_10978659</v>
      </c>
      <c r="B72" s="3">
        <f>'Приборы учета'!F209</f>
        <v>3.4000000000000002E-2</v>
      </c>
      <c r="C72" s="8">
        <f>'Приборы учета'!G209</f>
        <v>3.4000000000000002E-2</v>
      </c>
      <c r="D72" s="2">
        <f t="shared" si="2"/>
        <v>0</v>
      </c>
    </row>
    <row r="73" spans="1:4" x14ac:dyDescent="0.3">
      <c r="A73" s="4" t="str">
        <f>'Приборы учета'!C217</f>
        <v>23_10971307</v>
      </c>
      <c r="B73" s="3">
        <f>'Приборы учета'!F217</f>
        <v>0.76100000000000001</v>
      </c>
      <c r="C73" s="8">
        <f>'Приборы учета'!G217</f>
        <v>0.76100000000000001</v>
      </c>
      <c r="D73" s="2">
        <f t="shared" si="2"/>
        <v>0</v>
      </c>
    </row>
    <row r="74" spans="1:4" x14ac:dyDescent="0.3">
      <c r="A74" s="4" t="str">
        <f>'Приборы учета'!C218</f>
        <v>23_10966647</v>
      </c>
      <c r="B74" s="3">
        <f>'Приборы учета'!F218</f>
        <v>6.5919999999999996</v>
      </c>
      <c r="C74" s="8">
        <f>'Приборы учета'!G218</f>
        <v>6.9130000000000003</v>
      </c>
      <c r="D74" s="2">
        <f t="shared" si="2"/>
        <v>0.32100000000000062</v>
      </c>
    </row>
    <row r="75" spans="1:4" x14ac:dyDescent="0.3">
      <c r="A75" s="4" t="str">
        <f>'Приборы учета'!C219</f>
        <v>23_10971333</v>
      </c>
      <c r="B75" s="2">
        <f>'Приборы учета'!F219</f>
        <v>0.63500000000000001</v>
      </c>
      <c r="C75" s="8">
        <f>'Приборы учета'!G219</f>
        <v>0.63500000000000001</v>
      </c>
      <c r="D75" s="2">
        <f t="shared" si="2"/>
        <v>0</v>
      </c>
    </row>
    <row r="76" spans="1:4" x14ac:dyDescent="0.3">
      <c r="A76" s="4" t="str">
        <f>'Приборы учета'!C220</f>
        <v>23_10971339</v>
      </c>
      <c r="B76" s="3">
        <f>'Приборы учета'!F220</f>
        <v>0.311</v>
      </c>
      <c r="C76" s="8">
        <f>'Приборы учета'!G220</f>
        <v>0.311</v>
      </c>
      <c r="D76" s="2">
        <f t="shared" si="2"/>
        <v>0</v>
      </c>
    </row>
    <row r="77" spans="1:4" x14ac:dyDescent="0.3">
      <c r="A77" s="4" t="str">
        <f>'Приборы учета'!C221</f>
        <v>23_10966640</v>
      </c>
      <c r="B77" s="3">
        <f>'Приборы учета'!F221</f>
        <v>6.9000000000000006E-2</v>
      </c>
      <c r="C77" s="8">
        <f>'Приборы учета'!G221</f>
        <v>6.9000000000000006E-2</v>
      </c>
      <c r="D77" s="2">
        <f t="shared" si="2"/>
        <v>0</v>
      </c>
    </row>
    <row r="78" spans="1:4" x14ac:dyDescent="0.3">
      <c r="A78" s="4" t="str">
        <f>'Приборы учета'!C229</f>
        <v>23_11466570</v>
      </c>
      <c r="B78" s="3">
        <f>'Приборы учета'!F229</f>
        <v>0.66200000000000003</v>
      </c>
      <c r="C78" s="8">
        <f>'Приборы учета'!G229</f>
        <v>0.66900000000000004</v>
      </c>
      <c r="D78" s="2">
        <f t="shared" si="2"/>
        <v>7.0000000000000062E-3</v>
      </c>
    </row>
    <row r="79" spans="1:4" x14ac:dyDescent="0.3">
      <c r="A79" s="4" t="str">
        <f>'Приборы учета'!C230</f>
        <v>23_10966572</v>
      </c>
      <c r="B79" s="3">
        <f>'Приборы учета'!F230</f>
        <v>2.8380000000000001</v>
      </c>
      <c r="C79" s="8">
        <f>'Приборы учета'!G230</f>
        <v>10.766</v>
      </c>
      <c r="D79" s="2">
        <f t="shared" si="2"/>
        <v>7.9279999999999999</v>
      </c>
    </row>
    <row r="80" spans="1:4" x14ac:dyDescent="0.3">
      <c r="A80" s="4" t="str">
        <f>'Приборы учета'!C231</f>
        <v>23_11466844</v>
      </c>
      <c r="B80" s="2">
        <f>'Приборы учета'!F231</f>
        <v>0.159</v>
      </c>
      <c r="C80" s="2">
        <f>'Приборы учета'!G231</f>
        <v>0.159</v>
      </c>
      <c r="D80" s="2">
        <f t="shared" si="2"/>
        <v>0</v>
      </c>
    </row>
    <row r="81" spans="1:4" x14ac:dyDescent="0.3">
      <c r="A81" s="4" t="str">
        <f>'Приборы учета'!C232</f>
        <v>23_11466870</v>
      </c>
      <c r="B81" s="3">
        <f>'Приборы учета'!F232</f>
        <v>0.24299999999999999</v>
      </c>
      <c r="C81" s="9">
        <f>'Приборы учета'!G232</f>
        <v>0.24299999999999999</v>
      </c>
      <c r="D81" s="2">
        <f t="shared" si="2"/>
        <v>0</v>
      </c>
    </row>
    <row r="82" spans="1:4" x14ac:dyDescent="0.3">
      <c r="A82" s="4" t="str">
        <f>'Приборы учета'!C233</f>
        <v>23_11466576</v>
      </c>
      <c r="B82" s="3">
        <f>'Приборы учета'!F233</f>
        <v>3.6999999999999998E-2</v>
      </c>
      <c r="C82" s="9">
        <f>'Приборы учета'!G233</f>
        <v>3.6999999999999998E-2</v>
      </c>
      <c r="D82" s="2">
        <f t="shared" si="2"/>
        <v>0</v>
      </c>
    </row>
    <row r="83" spans="1:4" x14ac:dyDescent="0.3">
      <c r="A83" s="4" t="str">
        <f>'Приборы учета'!C241</f>
        <v>23_11466573</v>
      </c>
      <c r="B83" s="3">
        <f>'Приборы учета'!F241</f>
        <v>0.81499999999999995</v>
      </c>
      <c r="C83" s="9">
        <f>'Приборы учета'!G241</f>
        <v>0.81499999999999995</v>
      </c>
      <c r="D83" s="2">
        <f t="shared" si="2"/>
        <v>0</v>
      </c>
    </row>
    <row r="84" spans="1:4" x14ac:dyDescent="0.3">
      <c r="A84" s="4" t="str">
        <f>'Приборы учета'!C242</f>
        <v>23_11032665</v>
      </c>
      <c r="B84" s="3">
        <f>'Приборы учета'!F242</f>
        <v>17.975999999999999</v>
      </c>
      <c r="C84" s="9">
        <f>'Приборы учета'!G242</f>
        <v>27.617000000000001</v>
      </c>
      <c r="D84" s="2">
        <f t="shared" si="2"/>
        <v>9.6410000000000018</v>
      </c>
    </row>
    <row r="85" spans="1:4" x14ac:dyDescent="0.3">
      <c r="A85" s="4" t="str">
        <f>'Приборы учета'!C243</f>
        <v>23_11466813</v>
      </c>
      <c r="B85" s="3">
        <f>'Приборы учета'!F243</f>
        <v>0.32600000000000001</v>
      </c>
      <c r="C85" s="9">
        <f>'Приборы учета'!G243</f>
        <v>0.32600000000000001</v>
      </c>
      <c r="D85" s="2">
        <f t="shared" si="2"/>
        <v>0</v>
      </c>
    </row>
    <row r="86" spans="1:4" x14ac:dyDescent="0.3">
      <c r="A86" s="4" t="str">
        <f>'Приборы учета'!C244</f>
        <v>23_11466820</v>
      </c>
      <c r="B86" s="3">
        <f>'Приборы учета'!F244</f>
        <v>0.71299999999999997</v>
      </c>
      <c r="C86" s="9">
        <f>'Приборы учета'!G244</f>
        <v>0.71299999999999997</v>
      </c>
      <c r="D86" s="2">
        <f t="shared" si="2"/>
        <v>0</v>
      </c>
    </row>
    <row r="87" spans="1:4" x14ac:dyDescent="0.3">
      <c r="A87" s="4" t="str">
        <f>'Приборы учета'!C245</f>
        <v>23_11466564</v>
      </c>
      <c r="B87" s="3">
        <f>'Приборы учета'!F245</f>
        <v>0.26100000000000001</v>
      </c>
      <c r="C87" s="9">
        <f>'Приборы учета'!G245</f>
        <v>0.26700000000000002</v>
      </c>
      <c r="D87" s="2">
        <f t="shared" si="2"/>
        <v>6.0000000000000053E-3</v>
      </c>
    </row>
    <row r="88" spans="1:4" x14ac:dyDescent="0.3">
      <c r="A88" s="4" t="str">
        <f>'Приборы учета'!C253</f>
        <v>23_10980025</v>
      </c>
      <c r="B88" s="2">
        <f>'Приборы учета'!F253</f>
        <v>0.47399999999999998</v>
      </c>
      <c r="C88" s="9">
        <f>'Приборы учета'!G253</f>
        <v>0.47399999999999998</v>
      </c>
      <c r="D88" s="2">
        <f t="shared" si="2"/>
        <v>0</v>
      </c>
    </row>
    <row r="89" spans="1:4" x14ac:dyDescent="0.3">
      <c r="A89" s="4" t="str">
        <f>'Приборы учета'!C254</f>
        <v>23_10975536</v>
      </c>
      <c r="B89" s="2">
        <f>'Приборы учета'!F254</f>
        <v>0.52</v>
      </c>
      <c r="C89" s="9">
        <f>'Приборы учета'!G254</f>
        <v>0.52</v>
      </c>
      <c r="D89" s="2">
        <f t="shared" si="2"/>
        <v>0</v>
      </c>
    </row>
    <row r="90" spans="1:4" x14ac:dyDescent="0.3">
      <c r="A90" s="4" t="str">
        <f>'Приборы учета'!C255</f>
        <v>23_11034883</v>
      </c>
      <c r="B90" s="2">
        <f>'Приборы учета'!F255</f>
        <v>0.115</v>
      </c>
      <c r="C90" s="9">
        <f>'Приборы учета'!G255</f>
        <v>0.115</v>
      </c>
      <c r="D90" s="2">
        <f t="shared" si="2"/>
        <v>0</v>
      </c>
    </row>
    <row r="91" spans="1:4" x14ac:dyDescent="0.3">
      <c r="A91" s="4" t="str">
        <f>'Приборы учета'!C256</f>
        <v>23_10979158</v>
      </c>
      <c r="B91" s="2">
        <f>'Приборы учета'!F256</f>
        <v>0.38600000000000001</v>
      </c>
      <c r="C91" s="9">
        <f>'Приборы учета'!G256</f>
        <v>0.38600000000000001</v>
      </c>
      <c r="D91" s="2">
        <f t="shared" si="2"/>
        <v>0</v>
      </c>
    </row>
    <row r="92" spans="1:4" x14ac:dyDescent="0.3">
      <c r="A92" s="4" t="str">
        <f>'Приборы учета'!C257</f>
        <v>23_11466856</v>
      </c>
      <c r="B92" s="2">
        <f>'Приборы учета'!F257</f>
        <v>1.7999999999999999E-2</v>
      </c>
      <c r="C92" s="9">
        <f>'Приборы учета'!G257</f>
        <v>1.7999999999999999E-2</v>
      </c>
      <c r="D92" s="2">
        <f t="shared" si="2"/>
        <v>0</v>
      </c>
    </row>
    <row r="93" spans="1:4" x14ac:dyDescent="0.3">
      <c r="A93" s="4">
        <f>'Приборы учета'!C265</f>
        <v>11031545</v>
      </c>
      <c r="B93" s="3">
        <f>'Приборы учета'!F265</f>
        <v>0.1</v>
      </c>
      <c r="C93" s="9">
        <f>'Приборы учета'!G265</f>
        <v>0.36399999999999999</v>
      </c>
      <c r="D93" s="2">
        <f t="shared" si="2"/>
        <v>0.26400000000000001</v>
      </c>
    </row>
    <row r="94" spans="1:4" x14ac:dyDescent="0.3">
      <c r="A94" s="4">
        <f>'Приборы учета'!C266</f>
        <v>10971018</v>
      </c>
      <c r="B94" s="2">
        <f>'Приборы учета'!F266</f>
        <v>0.433</v>
      </c>
      <c r="C94" s="9">
        <f>'Приборы учета'!G266</f>
        <v>12.026999999999999</v>
      </c>
      <c r="D94" s="2">
        <f t="shared" si="2"/>
        <v>11.593999999999999</v>
      </c>
    </row>
    <row r="95" spans="1:4" x14ac:dyDescent="0.3">
      <c r="A95" s="4">
        <f>'Приборы учета'!C267</f>
        <v>10983826</v>
      </c>
      <c r="B95" s="3">
        <f>'Приборы учета'!F267</f>
        <v>0.33900000000000002</v>
      </c>
      <c r="C95" s="9">
        <f>'Приборы учета'!G267</f>
        <v>0.33900000000000002</v>
      </c>
      <c r="D95" s="2">
        <f t="shared" si="2"/>
        <v>0</v>
      </c>
    </row>
    <row r="96" spans="1:4" x14ac:dyDescent="0.3">
      <c r="A96" s="4">
        <f>'Приборы учета'!C268</f>
        <v>11031805</v>
      </c>
      <c r="B96" s="3">
        <f>'Приборы учета'!F268</f>
        <v>7.5999999999999998E-2</v>
      </c>
      <c r="C96" s="9">
        <f>'Приборы учета'!G268</f>
        <v>7.5999999999999998E-2</v>
      </c>
      <c r="D96" s="2">
        <f t="shared" si="2"/>
        <v>0</v>
      </c>
    </row>
    <row r="97" spans="1:4" x14ac:dyDescent="0.3">
      <c r="A97" s="4">
        <f>'Приборы учета'!C269</f>
        <v>10979155</v>
      </c>
      <c r="B97" s="3">
        <f>'Приборы учета'!F269</f>
        <v>5.8000000000000003E-2</v>
      </c>
      <c r="C97" s="9">
        <f>'Приборы учета'!G269</f>
        <v>5.8000000000000003E-2</v>
      </c>
      <c r="D97" s="2">
        <f t="shared" si="2"/>
        <v>0</v>
      </c>
    </row>
    <row r="98" spans="1:4" x14ac:dyDescent="0.3">
      <c r="A98" s="4">
        <f>'Приборы учета'!C277</f>
        <v>11039696</v>
      </c>
      <c r="B98" s="3">
        <f>'Приборы учета'!F277</f>
        <v>7.8E-2</v>
      </c>
      <c r="C98" s="9">
        <f>'Приборы учета'!G277</f>
        <v>0.159</v>
      </c>
      <c r="D98" s="2">
        <f t="shared" si="2"/>
        <v>8.1000000000000003E-2</v>
      </c>
    </row>
    <row r="99" spans="1:4" x14ac:dyDescent="0.3">
      <c r="A99" s="4">
        <f>'Приборы учета'!C278</f>
        <v>11039708</v>
      </c>
      <c r="B99" s="3">
        <f>'Приборы учета'!F278</f>
        <v>0.73699999999999999</v>
      </c>
      <c r="C99" s="9">
        <f>'Приборы учета'!G278</f>
        <v>0.79400000000000004</v>
      </c>
      <c r="D99" s="2">
        <f t="shared" si="2"/>
        <v>5.7000000000000051E-2</v>
      </c>
    </row>
    <row r="100" spans="1:4" x14ac:dyDescent="0.3">
      <c r="A100" s="4">
        <f>'Приборы учета'!C279</f>
        <v>11078041</v>
      </c>
      <c r="B100" s="3">
        <f>'Приборы учета'!F279</f>
        <v>0.113</v>
      </c>
      <c r="C100" s="9">
        <f>'Приборы учета'!G279</f>
        <v>0.113</v>
      </c>
      <c r="D100" s="2">
        <f t="shared" si="2"/>
        <v>0</v>
      </c>
    </row>
    <row r="101" spans="1:4" x14ac:dyDescent="0.3">
      <c r="A101" s="4">
        <f>'Приборы учета'!C280</f>
        <v>11078028</v>
      </c>
      <c r="B101" s="3">
        <f>'Приборы учета'!F280</f>
        <v>6.5000000000000002E-2</v>
      </c>
      <c r="C101" s="9">
        <f>'Приборы учета'!G280</f>
        <v>6.5000000000000002E-2</v>
      </c>
      <c r="D101" s="2">
        <f t="shared" si="2"/>
        <v>0</v>
      </c>
    </row>
    <row r="102" spans="1:4" x14ac:dyDescent="0.3">
      <c r="A102" s="4">
        <f>'Приборы учета'!C281</f>
        <v>11078035</v>
      </c>
      <c r="B102" s="3">
        <f>'Приборы учета'!F281</f>
        <v>0.128</v>
      </c>
      <c r="C102" s="9">
        <f>'Приборы учета'!G281</f>
        <v>0.128</v>
      </c>
      <c r="D102" s="2">
        <f t="shared" si="2"/>
        <v>0</v>
      </c>
    </row>
    <row r="103" spans="1:4" x14ac:dyDescent="0.3">
      <c r="A103" s="4">
        <f>'Приборы учета'!C289</f>
        <v>11035772</v>
      </c>
      <c r="B103" s="3">
        <f>'Приборы учета'!F289</f>
        <v>3.016</v>
      </c>
      <c r="C103" s="9">
        <f>'Приборы учета'!G289</f>
        <v>5.202</v>
      </c>
      <c r="D103" s="2">
        <f t="shared" si="2"/>
        <v>2.1859999999999999</v>
      </c>
    </row>
    <row r="104" spans="1:4" x14ac:dyDescent="0.3">
      <c r="A104" s="4">
        <f>'Приборы учета'!C290</f>
        <v>11078045</v>
      </c>
      <c r="B104" s="3">
        <f>'Приборы учета'!F290</f>
        <v>0.24399999999999999</v>
      </c>
      <c r="C104" s="9">
        <f>'Приборы учета'!G290</f>
        <v>0.24399999999999999</v>
      </c>
      <c r="D104" s="2">
        <f t="shared" si="2"/>
        <v>0</v>
      </c>
    </row>
    <row r="105" spans="1:4" x14ac:dyDescent="0.3">
      <c r="A105" s="4">
        <f>'Приборы учета'!C291</f>
        <v>10969984</v>
      </c>
      <c r="B105" s="3">
        <f>'Приборы учета'!F291</f>
        <v>4.1890000000000001</v>
      </c>
      <c r="C105" s="9">
        <f>'Приборы учета'!G291</f>
        <v>4.2130000000000001</v>
      </c>
      <c r="D105" s="2">
        <f t="shared" si="2"/>
        <v>2.4000000000000021E-2</v>
      </c>
    </row>
    <row r="106" spans="1:4" x14ac:dyDescent="0.3">
      <c r="A106" s="4">
        <f>'Приборы учета'!C292</f>
        <v>11048569</v>
      </c>
      <c r="B106" s="3">
        <f>'Приборы учета'!F292</f>
        <v>1.532</v>
      </c>
      <c r="C106" s="9">
        <f>'Приборы учета'!G292</f>
        <v>1.671</v>
      </c>
      <c r="D106" s="2">
        <f t="shared" si="2"/>
        <v>0.13900000000000001</v>
      </c>
    </row>
    <row r="107" spans="1:4" x14ac:dyDescent="0.3">
      <c r="A107" s="4" t="str">
        <f>'Приборы учета'!C293</f>
        <v>23_11035762</v>
      </c>
      <c r="B107" s="3">
        <f>'Приборы учета'!F293</f>
        <v>3.6999999999999998E-2</v>
      </c>
      <c r="C107" s="9">
        <f>'Приборы учета'!G293</f>
        <v>3.6999999999999998E-2</v>
      </c>
      <c r="D107" s="2">
        <f t="shared" si="2"/>
        <v>0</v>
      </c>
    </row>
    <row r="108" spans="1:4" x14ac:dyDescent="0.3">
      <c r="A108" s="4" t="str">
        <f>'Приборы учета'!C301</f>
        <v>23_11035763</v>
      </c>
      <c r="B108" s="3">
        <f>'Приборы учета'!F301</f>
        <v>0.73599999999999999</v>
      </c>
      <c r="C108" s="9">
        <f>'Приборы учета'!G301</f>
        <v>0.73599999999999999</v>
      </c>
      <c r="D108" s="2">
        <f t="shared" si="2"/>
        <v>0</v>
      </c>
    </row>
    <row r="109" spans="1:4" x14ac:dyDescent="0.3">
      <c r="A109" s="4" t="str">
        <f>'Приборы учета'!C302</f>
        <v>23_11035765</v>
      </c>
      <c r="B109" s="3">
        <f>'Приборы учета'!F302</f>
        <v>0.14699999999999999</v>
      </c>
      <c r="C109" s="9">
        <f>'Приборы учета'!G302</f>
        <v>0.14699999999999999</v>
      </c>
      <c r="D109" s="2">
        <f t="shared" si="2"/>
        <v>0</v>
      </c>
    </row>
    <row r="110" spans="1:4" x14ac:dyDescent="0.3">
      <c r="A110" s="4" t="str">
        <f>'Приборы учета'!C303</f>
        <v>23_11035780</v>
      </c>
      <c r="B110" s="3">
        <f>'Приборы учета'!F303</f>
        <v>0.32</v>
      </c>
      <c r="C110" s="9">
        <f>'Приборы учета'!G303</f>
        <v>0.32</v>
      </c>
      <c r="D110" s="2">
        <f t="shared" si="2"/>
        <v>0</v>
      </c>
    </row>
    <row r="111" spans="1:4" x14ac:dyDescent="0.3">
      <c r="A111" s="4" t="str">
        <f>'Приборы учета'!C304</f>
        <v>23_11035768</v>
      </c>
      <c r="B111" s="3">
        <f>'Приборы учета'!F304</f>
        <v>7.0999999999999994E-2</v>
      </c>
      <c r="C111" s="9">
        <f>'Приборы учета'!G304</f>
        <v>7.0999999999999994E-2</v>
      </c>
      <c r="D111" s="2">
        <f t="shared" si="2"/>
        <v>0</v>
      </c>
    </row>
    <row r="112" spans="1:4" x14ac:dyDescent="0.3">
      <c r="A112" s="4" t="str">
        <f>'Приборы учета'!C305</f>
        <v>23_11035770</v>
      </c>
      <c r="B112" s="3">
        <f>'Приборы учета'!F305</f>
        <v>7.8E-2</v>
      </c>
      <c r="C112" s="9">
        <f>'Приборы учета'!G305</f>
        <v>7.8E-2</v>
      </c>
      <c r="D112" s="2">
        <f t="shared" si="2"/>
        <v>0</v>
      </c>
    </row>
    <row r="113" spans="1:4" x14ac:dyDescent="0.3">
      <c r="A113" s="4">
        <f>'Приборы учета'!C313</f>
        <v>11039824</v>
      </c>
      <c r="B113" s="3">
        <f>'Приборы учета'!F313</f>
        <v>0.10299999999999999</v>
      </c>
      <c r="C113" s="9">
        <f>'Приборы учета'!G313</f>
        <v>0.10299999999999999</v>
      </c>
      <c r="D113" s="2">
        <f t="shared" si="2"/>
        <v>0</v>
      </c>
    </row>
    <row r="114" spans="1:4" x14ac:dyDescent="0.3">
      <c r="A114" s="4">
        <f>'Приборы учета'!C314</f>
        <v>11039825</v>
      </c>
      <c r="B114" s="3">
        <f>'Приборы учета'!F314</f>
        <v>3.5999999999999997E-2</v>
      </c>
      <c r="C114" s="9">
        <f>'Приборы учета'!G314</f>
        <v>3.5999999999999997E-2</v>
      </c>
      <c r="D114" s="2">
        <f t="shared" si="2"/>
        <v>0</v>
      </c>
    </row>
    <row r="115" spans="1:4" x14ac:dyDescent="0.3">
      <c r="A115" s="4">
        <f>'Приборы учета'!C315</f>
        <v>11039823</v>
      </c>
      <c r="B115" s="3">
        <f>'Приборы учета'!F315</f>
        <v>1.4999999999999999E-2</v>
      </c>
      <c r="C115" s="9">
        <f>'Приборы учета'!G315</f>
        <v>1.4999999999999999E-2</v>
      </c>
      <c r="D115" s="2">
        <f t="shared" si="2"/>
        <v>0</v>
      </c>
    </row>
    <row r="116" spans="1:4" x14ac:dyDescent="0.3">
      <c r="A116" s="4">
        <f>'Приборы учета'!C316</f>
        <v>10971626</v>
      </c>
      <c r="B116" s="3">
        <f>'Приборы учета'!F316</f>
        <v>0.17299999999999999</v>
      </c>
      <c r="C116" s="9">
        <f>'Приборы учета'!G316</f>
        <v>0.17299999999999999</v>
      </c>
      <c r="D116" s="2">
        <f t="shared" si="2"/>
        <v>0</v>
      </c>
    </row>
    <row r="117" spans="1:4" x14ac:dyDescent="0.3">
      <c r="A117" s="4">
        <f>'Приборы учета'!C317</f>
        <v>10968066</v>
      </c>
      <c r="B117" s="3">
        <f>'Приборы учета'!F317</f>
        <v>0.19600000000000001</v>
      </c>
      <c r="C117" s="9">
        <f>'Приборы учета'!G317</f>
        <v>0.19600000000000001</v>
      </c>
      <c r="D117" s="2">
        <f t="shared" si="2"/>
        <v>0</v>
      </c>
    </row>
    <row r="118" spans="1:4" x14ac:dyDescent="0.3">
      <c r="A118" s="4" t="str">
        <f>'Приборы учета'!$C$321</f>
        <v>23_11039822</v>
      </c>
      <c r="B118" s="3">
        <f>'Приборы учета'!F321</f>
        <v>0.01</v>
      </c>
      <c r="C118" s="9">
        <f>'Приборы учета'!G321</f>
        <v>0.01</v>
      </c>
      <c r="D118" s="2">
        <f t="shared" si="2"/>
        <v>0</v>
      </c>
    </row>
    <row r="119" spans="1:4" x14ac:dyDescent="0.3">
      <c r="A119" s="4" t="str">
        <f>'Приборы учета'!$C$324</f>
        <v>23_11078055</v>
      </c>
      <c r="B119" s="3">
        <f>'Приборы учета'!F324</f>
        <v>0.44700000000000001</v>
      </c>
      <c r="C119" s="9">
        <f>'Приборы учета'!G324</f>
        <v>0.44700000000000001</v>
      </c>
      <c r="D119" s="2">
        <f t="shared" si="2"/>
        <v>0</v>
      </c>
    </row>
    <row r="120" spans="1:4" x14ac:dyDescent="0.3">
      <c r="A120" s="4" t="str">
        <f>'Приборы учета'!$C$327</f>
        <v>23_11083050</v>
      </c>
      <c r="B120" s="3">
        <f>'Приборы учета'!F327</f>
        <v>8.0000000000000002E-3</v>
      </c>
      <c r="C120" s="9">
        <f>'Приборы учета'!G327</f>
        <v>8.0000000000000002E-3</v>
      </c>
      <c r="D120" s="2">
        <f t="shared" si="2"/>
        <v>0</v>
      </c>
    </row>
    <row r="121" spans="1:4" x14ac:dyDescent="0.3">
      <c r="A121" s="4" t="str">
        <f>'Приборы учета'!$C$330</f>
        <v>23_11035725</v>
      </c>
      <c r="B121" s="3">
        <f>'Приборы учета'!F330</f>
        <v>2E-3</v>
      </c>
      <c r="C121" s="9">
        <f>'Приборы учета'!G330</f>
        <v>0.01</v>
      </c>
      <c r="D121" s="2">
        <f t="shared" si="2"/>
        <v>8.0000000000000002E-3</v>
      </c>
    </row>
    <row r="122" spans="1:4" x14ac:dyDescent="0.3">
      <c r="A122" s="4" t="str">
        <f>'Приборы учета'!C336</f>
        <v>23_11083057</v>
      </c>
      <c r="B122" s="3">
        <f>'Приборы учета'!F336</f>
        <v>0.63600000000000001</v>
      </c>
      <c r="C122" s="9">
        <f>'Приборы учета'!G336</f>
        <v>0.63600000000000001</v>
      </c>
      <c r="D122" s="2">
        <f t="shared" si="2"/>
        <v>0</v>
      </c>
    </row>
    <row r="123" spans="1:4" x14ac:dyDescent="0.3">
      <c r="A123" s="4" t="str">
        <f>'Приборы учета'!C337</f>
        <v>23_11083058</v>
      </c>
      <c r="B123" s="3">
        <f>'Приборы учета'!F337</f>
        <v>8.9999999999999993E-3</v>
      </c>
      <c r="C123" s="9">
        <f>'Приборы учета'!G337</f>
        <v>8.9999999999999993E-3</v>
      </c>
      <c r="D123" s="2">
        <f t="shared" si="2"/>
        <v>0</v>
      </c>
    </row>
    <row r="124" spans="1:4" x14ac:dyDescent="0.3">
      <c r="A124" s="4" t="str">
        <f>'Приборы учета'!C338</f>
        <v>23_11083051</v>
      </c>
      <c r="B124" s="3">
        <f>'Приборы учета'!F338</f>
        <v>0.26400000000000001</v>
      </c>
      <c r="C124" s="9">
        <f>'Приборы учета'!G338</f>
        <v>0.26400000000000001</v>
      </c>
      <c r="D124" s="2">
        <f t="shared" si="2"/>
        <v>0</v>
      </c>
    </row>
    <row r="125" spans="1:4" x14ac:dyDescent="0.3">
      <c r="A125" s="4" t="str">
        <f>'Приборы учета'!C339</f>
        <v>23_11031908</v>
      </c>
      <c r="B125" s="3">
        <f>'Приборы учета'!F339</f>
        <v>0.26200000000000001</v>
      </c>
      <c r="C125" s="9">
        <f>'Приборы учета'!G339</f>
        <v>0.26200000000000001</v>
      </c>
      <c r="D125" s="2">
        <f t="shared" si="2"/>
        <v>0</v>
      </c>
    </row>
    <row r="126" spans="1:4" x14ac:dyDescent="0.3">
      <c r="A126" s="4" t="str">
        <f>'Приборы учета'!$C$343</f>
        <v>23_11083056</v>
      </c>
      <c r="B126" s="3">
        <f>'Приборы учета'!F343</f>
        <v>4.5999999999999999E-2</v>
      </c>
      <c r="C126" s="9">
        <f>'Приборы учета'!G343</f>
        <v>4.5999999999999999E-2</v>
      </c>
      <c r="D126" s="2">
        <f t="shared" si="2"/>
        <v>0</v>
      </c>
    </row>
    <row r="127" spans="1:4" x14ac:dyDescent="0.3">
      <c r="A127" s="4" t="str">
        <f>'Приборы учета'!C350</f>
        <v>23_11032790</v>
      </c>
      <c r="B127" s="3">
        <f>'Приборы учета'!F350</f>
        <v>1.0999999999999999E-2</v>
      </c>
      <c r="C127" s="9">
        <f>'Приборы учета'!G350</f>
        <v>1.0999999999999999E-2</v>
      </c>
      <c r="D127" s="2">
        <f t="shared" si="2"/>
        <v>0</v>
      </c>
    </row>
    <row r="128" spans="1:4" x14ac:dyDescent="0.3">
      <c r="A128" s="4" t="str">
        <f>'Приборы учета'!C351</f>
        <v>23_10985067</v>
      </c>
      <c r="B128" s="3">
        <f>'Приборы учета'!F351</f>
        <v>0.64300000000000002</v>
      </c>
      <c r="C128" s="9">
        <f>'Приборы учета'!G351</f>
        <v>0.64300000000000002</v>
      </c>
      <c r="D128" s="2">
        <f t="shared" si="2"/>
        <v>0</v>
      </c>
    </row>
    <row r="129" spans="1:4" x14ac:dyDescent="0.3">
      <c r="A129" s="4" t="str">
        <f>'Приборы учета'!C352</f>
        <v>23_11031098</v>
      </c>
      <c r="B129" s="3">
        <f>'Приборы учета'!F352</f>
        <v>2.3E-2</v>
      </c>
      <c r="C129" s="9">
        <f>'Приборы учета'!G352</f>
        <v>0.23</v>
      </c>
      <c r="D129" s="2">
        <f t="shared" si="2"/>
        <v>0.20700000000000002</v>
      </c>
    </row>
    <row r="130" spans="1:4" x14ac:dyDescent="0.3">
      <c r="A130" s="4" t="str">
        <f>'Приборы учета'!C353</f>
        <v>23_10985076</v>
      </c>
      <c r="B130" s="3">
        <f>'Приборы учета'!F353</f>
        <v>0.41899999999999998</v>
      </c>
      <c r="C130" s="9">
        <f>'Приборы учета'!G353</f>
        <v>3.5510000000000002</v>
      </c>
      <c r="D130" s="2">
        <f t="shared" si="2"/>
        <v>3.1320000000000001</v>
      </c>
    </row>
    <row r="131" spans="1:4" x14ac:dyDescent="0.3">
      <c r="A131" s="4" t="str">
        <f>'Приборы учета'!C354</f>
        <v>23_10975537</v>
      </c>
      <c r="B131" s="3">
        <f>'Приборы учета'!F354</f>
        <v>0.27900000000000003</v>
      </c>
      <c r="C131" s="9">
        <f>'Приборы учета'!G354</f>
        <v>0.27900000000000003</v>
      </c>
      <c r="D131" s="2">
        <f t="shared" si="2"/>
        <v>0</v>
      </c>
    </row>
    <row r="132" spans="1:4" x14ac:dyDescent="0.3">
      <c r="A132" s="4" t="str">
        <f>'Приборы учета'!C362</f>
        <v>23_10985069</v>
      </c>
      <c r="B132" s="3">
        <f>'Приборы учета'!F362</f>
        <v>0.16900000000000001</v>
      </c>
      <c r="C132" s="9">
        <f>'Приборы учета'!G362</f>
        <v>0.16900000000000001</v>
      </c>
      <c r="D132" s="2">
        <f t="shared" ref="D132:D138" si="3">C132-B132</f>
        <v>0</v>
      </c>
    </row>
    <row r="133" spans="1:4" x14ac:dyDescent="0.3">
      <c r="A133" s="4" t="str">
        <f>'Приборы учета'!C363</f>
        <v>23_11031900</v>
      </c>
      <c r="B133" s="3">
        <f>'Приборы учета'!F363</f>
        <v>1.4E-2</v>
      </c>
      <c r="C133" s="9">
        <f>'Приборы учета'!G363</f>
        <v>1.4E-2</v>
      </c>
      <c r="D133" s="2">
        <f t="shared" si="3"/>
        <v>0</v>
      </c>
    </row>
    <row r="134" spans="1:4" x14ac:dyDescent="0.3">
      <c r="A134" s="4" t="str">
        <f>'Приборы учета'!C364</f>
        <v>23_10971045</v>
      </c>
      <c r="B134" s="3">
        <f>'Приборы учета'!F364</f>
        <v>0.46200000000000002</v>
      </c>
      <c r="C134" s="9">
        <f>'Приборы учета'!G364</f>
        <v>0.46200000000000002</v>
      </c>
      <c r="D134" s="2">
        <f t="shared" si="3"/>
        <v>0</v>
      </c>
    </row>
    <row r="135" spans="1:4" x14ac:dyDescent="0.3">
      <c r="A135" s="27" t="str">
        <f>'Приборы учета'!C365</f>
        <v>23_11031119</v>
      </c>
      <c r="B135" s="2">
        <f>'Приборы учета'!F365</f>
        <v>2.0150000000000001</v>
      </c>
      <c r="C135" s="8">
        <f>'Приборы учета'!G365</f>
        <v>57.28</v>
      </c>
      <c r="D135" s="2">
        <f t="shared" si="3"/>
        <v>55.265000000000001</v>
      </c>
    </row>
    <row r="136" spans="1:4" x14ac:dyDescent="0.3">
      <c r="A136" s="27" t="str">
        <f>'Приборы учета'!C366</f>
        <v>23_10975468</v>
      </c>
      <c r="B136" s="2">
        <f>'Приборы учета'!F366</f>
        <v>4.9000000000000002E-2</v>
      </c>
      <c r="C136" s="8">
        <f>'Приборы учета'!G366</f>
        <v>4.9000000000000002E-2</v>
      </c>
      <c r="D136" s="2">
        <f t="shared" si="3"/>
        <v>0</v>
      </c>
    </row>
    <row r="137" spans="1:4" x14ac:dyDescent="0.3">
      <c r="A137" s="27" t="str">
        <f>'Приборы учета'!C374</f>
        <v>23_11031909</v>
      </c>
      <c r="B137" s="2">
        <f>'Приборы учета'!F374</f>
        <v>1.4E-2</v>
      </c>
      <c r="C137" s="8">
        <f>'Приборы учета'!G374</f>
        <v>1.4E-2</v>
      </c>
      <c r="D137" s="2">
        <f t="shared" si="3"/>
        <v>0</v>
      </c>
    </row>
    <row r="138" spans="1:4" x14ac:dyDescent="0.3">
      <c r="A138" s="27" t="str">
        <f>'Приборы учета'!C375</f>
        <v>23_10969989</v>
      </c>
      <c r="B138" s="2">
        <f>'Приборы учета'!F375</f>
        <v>0.39500000000000002</v>
      </c>
      <c r="C138" s="8">
        <f>'Приборы учета'!G375</f>
        <v>0.39500000000000002</v>
      </c>
      <c r="D138" s="2">
        <f t="shared" si="3"/>
        <v>0</v>
      </c>
    </row>
    <row r="139" spans="1:4" x14ac:dyDescent="0.3">
      <c r="A139" s="27" t="str">
        <f>'Приборы учета'!C376</f>
        <v>23_10971035</v>
      </c>
      <c r="B139" s="2">
        <f>'Приборы учета'!F376</f>
        <v>0.12</v>
      </c>
      <c r="C139" s="8">
        <f>'Приборы учета'!G376</f>
        <v>0.12</v>
      </c>
      <c r="D139" s="2">
        <f>C139-B139</f>
        <v>0</v>
      </c>
    </row>
    <row r="140" spans="1:4" x14ac:dyDescent="0.3">
      <c r="A140" s="27" t="str">
        <f>'Приборы учета'!C377</f>
        <v>23_10969995</v>
      </c>
      <c r="B140" s="2">
        <f>'Приборы учета'!F377</f>
        <v>0.20899999999999999</v>
      </c>
      <c r="C140" s="2">
        <f>'Приборы учета'!G377</f>
        <v>0.20899999999999999</v>
      </c>
      <c r="D140" s="2">
        <f t="shared" ref="D140:D171" si="4">C140-B140</f>
        <v>0</v>
      </c>
    </row>
    <row r="141" spans="1:4" x14ac:dyDescent="0.3">
      <c r="A141" s="27" t="str">
        <f>'Приборы учета'!C378</f>
        <v>23_10975470</v>
      </c>
      <c r="B141" s="2">
        <f>'Приборы учета'!F378</f>
        <v>9.2999999999999999E-2</v>
      </c>
      <c r="C141" s="2">
        <f>'Приборы учета'!G378</f>
        <v>9.2999999999999999E-2</v>
      </c>
      <c r="D141" s="2">
        <f t="shared" si="4"/>
        <v>0</v>
      </c>
    </row>
    <row r="142" spans="1:4" x14ac:dyDescent="0.3">
      <c r="A142" s="1" t="str">
        <f>'Приборы учета'!C386</f>
        <v>23_10969987</v>
      </c>
      <c r="B142" s="2">
        <f>'Приборы учета'!F386</f>
        <v>1.4E-2</v>
      </c>
      <c r="C142" s="2">
        <f>'Приборы учета'!G386</f>
        <v>1.4E-2</v>
      </c>
      <c r="D142" s="2">
        <f t="shared" si="4"/>
        <v>0</v>
      </c>
    </row>
    <row r="143" spans="1:4" x14ac:dyDescent="0.3">
      <c r="A143" s="1" t="str">
        <f>'Приборы учета'!C387</f>
        <v>23_11043792</v>
      </c>
      <c r="B143" s="2">
        <f>'Приборы учета'!F387</f>
        <v>0.255</v>
      </c>
      <c r="C143" s="2">
        <f>'Приборы учета'!G387</f>
        <v>0.255</v>
      </c>
      <c r="D143" s="2">
        <f t="shared" si="4"/>
        <v>0</v>
      </c>
    </row>
    <row r="144" spans="1:4" x14ac:dyDescent="0.3">
      <c r="A144" s="1" t="str">
        <f>'Приборы учета'!C388</f>
        <v>23_10970984</v>
      </c>
      <c r="B144" s="2">
        <f>'Приборы учета'!F388</f>
        <v>9.8000000000000004E-2</v>
      </c>
      <c r="C144" s="2">
        <f>'Приборы учета'!G388</f>
        <v>9.8000000000000004E-2</v>
      </c>
      <c r="D144" s="2">
        <f t="shared" si="4"/>
        <v>0</v>
      </c>
    </row>
    <row r="145" spans="1:4" x14ac:dyDescent="0.3">
      <c r="A145" s="1" t="str">
        <f>'Приборы учета'!C389</f>
        <v>23_11078795</v>
      </c>
      <c r="B145" s="2">
        <f>'Приборы учета'!F389</f>
        <v>0.52600000000000002</v>
      </c>
      <c r="C145" s="2">
        <f>'Приборы учета'!G389</f>
        <v>0.54200000000000004</v>
      </c>
      <c r="D145" s="2">
        <f t="shared" si="4"/>
        <v>1.6000000000000014E-2</v>
      </c>
    </row>
    <row r="146" spans="1:4" x14ac:dyDescent="0.3">
      <c r="A146" s="1" t="str">
        <f>'Приборы учета'!C390</f>
        <v>24_12187831</v>
      </c>
      <c r="B146" s="2">
        <f>'Приборы учета'!F390</f>
        <v>3.7999999999999999E-2</v>
      </c>
      <c r="C146" s="2">
        <f>'Приборы учета'!G390</f>
        <v>6.2E-2</v>
      </c>
      <c r="D146" s="2">
        <f t="shared" si="4"/>
        <v>2.4E-2</v>
      </c>
    </row>
    <row r="147" spans="1:4" x14ac:dyDescent="0.3">
      <c r="A147" s="1" t="str">
        <f>'Приборы учета'!C398</f>
        <v>23_11042999</v>
      </c>
      <c r="B147" s="2">
        <f>'Приборы учета'!F398</f>
        <v>0.69799999999999995</v>
      </c>
      <c r="C147" s="2">
        <f>'Приборы учета'!G398</f>
        <v>0.69799999999999995</v>
      </c>
      <c r="D147" s="2">
        <f t="shared" si="4"/>
        <v>0</v>
      </c>
    </row>
    <row r="148" spans="1:4" x14ac:dyDescent="0.3">
      <c r="A148" s="1" t="str">
        <f>'Приборы учета'!C399</f>
        <v>23_11043002</v>
      </c>
      <c r="B148" s="2">
        <f>'Приборы учета'!F399</f>
        <v>0.378</v>
      </c>
      <c r="C148" s="2">
        <f>'Приборы учета'!G399</f>
        <v>0.378</v>
      </c>
      <c r="D148" s="2">
        <f t="shared" si="4"/>
        <v>0</v>
      </c>
    </row>
    <row r="149" spans="1:4" x14ac:dyDescent="0.3">
      <c r="A149" s="1" t="str">
        <f>'Приборы учета'!C400</f>
        <v>23_11032557</v>
      </c>
      <c r="B149" s="2">
        <f>'Приборы учета'!F400</f>
        <v>1.6E-2</v>
      </c>
      <c r="C149" s="2">
        <f>'Приборы учета'!G400</f>
        <v>1.6E-2</v>
      </c>
      <c r="D149" s="2">
        <f t="shared" si="4"/>
        <v>0</v>
      </c>
    </row>
    <row r="150" spans="1:4" x14ac:dyDescent="0.3">
      <c r="A150" s="1" t="str">
        <f>'Приборы учета'!C401</f>
        <v>23_11043006</v>
      </c>
      <c r="B150" s="2">
        <f>'Приборы учета'!F401</f>
        <v>0.27900000000000003</v>
      </c>
      <c r="C150" s="2">
        <f>'Приборы учета'!G401</f>
        <v>0.27900000000000003</v>
      </c>
      <c r="D150" s="2">
        <f t="shared" si="4"/>
        <v>0</v>
      </c>
    </row>
    <row r="151" spans="1:4" x14ac:dyDescent="0.3">
      <c r="A151" s="1" t="str">
        <f>'Приборы учета'!C402</f>
        <v>23_10983831</v>
      </c>
      <c r="B151" s="2">
        <f>'Приборы учета'!F402</f>
        <v>0.20300000000000001</v>
      </c>
      <c r="C151" s="2">
        <f>'Приборы учета'!G402</f>
        <v>0.20300000000000001</v>
      </c>
      <c r="D151" s="2">
        <f t="shared" si="4"/>
        <v>0</v>
      </c>
    </row>
    <row r="152" spans="1:4" x14ac:dyDescent="0.3">
      <c r="A152" s="1" t="str">
        <f>'Приборы учета'!C410</f>
        <v>23_11042998</v>
      </c>
      <c r="B152" s="2">
        <f>'Приборы учета'!F410</f>
        <v>0.08</v>
      </c>
      <c r="C152" s="2">
        <f>'Приборы учета'!G410</f>
        <v>0.08</v>
      </c>
      <c r="D152" s="2">
        <f t="shared" si="4"/>
        <v>0</v>
      </c>
    </row>
    <row r="153" spans="1:4" x14ac:dyDescent="0.3">
      <c r="A153" s="1" t="str">
        <f>'Приборы учета'!C411</f>
        <v>23_11043007</v>
      </c>
      <c r="B153" s="2">
        <f>'Приборы учета'!F411</f>
        <v>0.23899999999999999</v>
      </c>
      <c r="C153" s="2">
        <f>'Приборы учета'!G411</f>
        <v>0.23899999999999999</v>
      </c>
      <c r="D153" s="2">
        <f t="shared" si="4"/>
        <v>0</v>
      </c>
    </row>
    <row r="154" spans="1:4" x14ac:dyDescent="0.3">
      <c r="A154" s="1" t="str">
        <f>'Приборы учета'!C412</f>
        <v>23_11031957</v>
      </c>
      <c r="B154" s="2">
        <f>'Приборы учета'!F412</f>
        <v>0.51500000000000001</v>
      </c>
      <c r="C154" s="2">
        <f>'Приборы учета'!G412</f>
        <v>0.51500000000000001</v>
      </c>
      <c r="D154" s="2">
        <f t="shared" si="4"/>
        <v>0</v>
      </c>
    </row>
    <row r="155" spans="1:4" x14ac:dyDescent="0.3">
      <c r="A155" s="1" t="str">
        <f>'Приборы учета'!C413</f>
        <v>23_11043000</v>
      </c>
      <c r="B155" s="2">
        <f>'Приборы учета'!F413</f>
        <v>0.22600000000000001</v>
      </c>
      <c r="C155" s="2">
        <f>'Приборы учета'!G413</f>
        <v>0.22600000000000001</v>
      </c>
      <c r="D155" s="2">
        <f t="shared" si="4"/>
        <v>0</v>
      </c>
    </row>
    <row r="156" spans="1:4" x14ac:dyDescent="0.3">
      <c r="A156" s="1" t="str">
        <f>'Приборы учета'!C414</f>
        <v>23_11035714</v>
      </c>
      <c r="B156" s="2">
        <f>'Приборы учета'!F414</f>
        <v>0.79900000000000004</v>
      </c>
      <c r="C156" s="2">
        <f>'Приборы учета'!G414</f>
        <v>0.79900000000000004</v>
      </c>
      <c r="D156" s="2">
        <f t="shared" si="4"/>
        <v>0</v>
      </c>
    </row>
    <row r="157" spans="1:4" x14ac:dyDescent="0.3">
      <c r="A157" s="1" t="str">
        <f>'Приборы учета'!C422</f>
        <v>23_11031540</v>
      </c>
      <c r="B157" s="2">
        <f>'Приборы учета'!F422</f>
        <v>0.96299999999999997</v>
      </c>
      <c r="C157" s="2">
        <f>'Приборы учета'!G422</f>
        <v>0.96299999999999997</v>
      </c>
      <c r="D157" s="2">
        <f t="shared" si="4"/>
        <v>0</v>
      </c>
    </row>
    <row r="158" spans="1:4" x14ac:dyDescent="0.3">
      <c r="A158" s="1" t="str">
        <f>'Приборы учета'!C423</f>
        <v>23_11031956</v>
      </c>
      <c r="B158" s="2">
        <f>'Приборы учета'!F423</f>
        <v>0.316</v>
      </c>
      <c r="C158" s="2">
        <f>'Приборы учета'!G423</f>
        <v>0.316</v>
      </c>
      <c r="D158" s="2">
        <f t="shared" si="4"/>
        <v>0</v>
      </c>
    </row>
    <row r="159" spans="1:4" x14ac:dyDescent="0.3">
      <c r="A159" s="1" t="str">
        <f>'Приборы учета'!C424</f>
        <v>23_10983944</v>
      </c>
      <c r="B159" s="2">
        <f>'Приборы учета'!F424</f>
        <v>2.7E-2</v>
      </c>
      <c r="C159" s="2">
        <f>'Приборы учета'!G424</f>
        <v>2.7E-2</v>
      </c>
      <c r="D159" s="2">
        <f t="shared" si="4"/>
        <v>0</v>
      </c>
    </row>
    <row r="160" spans="1:4" x14ac:dyDescent="0.3">
      <c r="A160" s="1" t="str">
        <f>'Приборы учета'!C425</f>
        <v>23_11032804</v>
      </c>
      <c r="B160" s="2">
        <f>'Приборы учета'!F425</f>
        <v>0.16300000000000001</v>
      </c>
      <c r="C160" s="2">
        <f>'Приборы учета'!G425</f>
        <v>0.16300000000000001</v>
      </c>
      <c r="D160" s="2">
        <f t="shared" si="4"/>
        <v>0</v>
      </c>
    </row>
    <row r="161" spans="1:4" x14ac:dyDescent="0.3">
      <c r="A161" s="1" t="str">
        <f>'Приборы учета'!C426</f>
        <v>23_11035722</v>
      </c>
      <c r="B161" s="2">
        <f>'Приборы учета'!F426</f>
        <v>0.16900000000000001</v>
      </c>
      <c r="C161" s="2">
        <f>'Приборы учета'!G426</f>
        <v>0.16900000000000001</v>
      </c>
      <c r="D161" s="2">
        <f t="shared" si="4"/>
        <v>0</v>
      </c>
    </row>
    <row r="162" spans="1:4" x14ac:dyDescent="0.3">
      <c r="A162" s="1" t="str">
        <f>'Приборы учета'!C434</f>
        <v>23_11035718</v>
      </c>
      <c r="B162" s="2">
        <f>'Приборы учета'!F434</f>
        <v>0.20699999999999999</v>
      </c>
      <c r="C162" s="2">
        <f>'Приборы учета'!G434</f>
        <v>0.20699999999999999</v>
      </c>
      <c r="D162" s="2">
        <f t="shared" si="4"/>
        <v>0</v>
      </c>
    </row>
    <row r="163" spans="1:4" x14ac:dyDescent="0.3">
      <c r="A163" s="1" t="str">
        <f>'Приборы учета'!C435</f>
        <v>23_11034635</v>
      </c>
      <c r="B163" s="2">
        <f>'Приборы учета'!F435</f>
        <v>0.61899999999999999</v>
      </c>
      <c r="C163" s="2">
        <f>'Приборы учета'!G435</f>
        <v>0.61899999999999999</v>
      </c>
      <c r="D163" s="2">
        <f t="shared" si="4"/>
        <v>0</v>
      </c>
    </row>
    <row r="164" spans="1:4" x14ac:dyDescent="0.3">
      <c r="A164" s="1" t="str">
        <f>'Приборы учета'!C436</f>
        <v>23_11081509</v>
      </c>
      <c r="B164" s="2">
        <f>'Приборы учета'!F436</f>
        <v>6.5000000000000002E-2</v>
      </c>
      <c r="C164" s="2">
        <f>'Приборы учета'!G436</f>
        <v>6.5000000000000002E-2</v>
      </c>
      <c r="D164" s="2">
        <f t="shared" si="4"/>
        <v>0</v>
      </c>
    </row>
    <row r="165" spans="1:4" x14ac:dyDescent="0.3">
      <c r="A165" s="1" t="str">
        <f>'Приборы учета'!C437</f>
        <v>23_11081504</v>
      </c>
      <c r="B165" s="2">
        <f>'Приборы учета'!F437</f>
        <v>0.14399999999999999</v>
      </c>
      <c r="C165" s="2">
        <f>'Приборы учета'!G437</f>
        <v>0.14399999999999999</v>
      </c>
      <c r="D165" s="2">
        <f t="shared" si="4"/>
        <v>0</v>
      </c>
    </row>
    <row r="166" spans="1:4" x14ac:dyDescent="0.3">
      <c r="A166" s="1" t="str">
        <f>'Приборы учета'!C438</f>
        <v>23_11035715</v>
      </c>
      <c r="B166" s="2">
        <f>'Приборы учета'!F438</f>
        <v>2.1999999999999999E-2</v>
      </c>
      <c r="C166" s="2">
        <f>'Приборы учета'!G438</f>
        <v>2.1999999999999999E-2</v>
      </c>
      <c r="D166" s="2">
        <f t="shared" si="4"/>
        <v>0</v>
      </c>
    </row>
    <row r="167" spans="1:4" x14ac:dyDescent="0.3">
      <c r="A167" s="1" t="str">
        <f>'Приборы учета'!C446</f>
        <v>23_11035734</v>
      </c>
      <c r="B167" s="2">
        <f>'Приборы учета'!F446</f>
        <v>0.34799999999999998</v>
      </c>
      <c r="C167" s="2">
        <f>'Приборы учета'!G446</f>
        <v>0.34799999999999998</v>
      </c>
      <c r="D167" s="2">
        <f t="shared" si="4"/>
        <v>0</v>
      </c>
    </row>
    <row r="168" spans="1:4" x14ac:dyDescent="0.3">
      <c r="A168" s="1" t="str">
        <f>'Приборы учета'!C447</f>
        <v>23_11078039</v>
      </c>
      <c r="B168" s="2">
        <f>'Приборы учета'!F447</f>
        <v>9.5000000000000001E-2</v>
      </c>
      <c r="C168" s="2">
        <f>'Приборы учета'!G447</f>
        <v>9.5000000000000001E-2</v>
      </c>
      <c r="D168" s="2">
        <f t="shared" si="4"/>
        <v>0</v>
      </c>
    </row>
    <row r="169" spans="1:4" x14ac:dyDescent="0.3">
      <c r="A169" s="1" t="str">
        <f>'Приборы учета'!C448</f>
        <v>23_11035730</v>
      </c>
      <c r="B169" s="2">
        <f>'Приборы учета'!F448</f>
        <v>0.28699999999999998</v>
      </c>
      <c r="C169" s="2">
        <f>'Приборы учета'!G448</f>
        <v>0.28699999999999998</v>
      </c>
      <c r="D169" s="2">
        <f t="shared" si="4"/>
        <v>0</v>
      </c>
    </row>
    <row r="170" spans="1:4" x14ac:dyDescent="0.3">
      <c r="A170" s="1" t="str">
        <f>'Приборы учета'!C449</f>
        <v>23_11035728</v>
      </c>
      <c r="B170" s="2">
        <f>'Приборы учета'!F449</f>
        <v>8.9999999999999993E-3</v>
      </c>
      <c r="C170" s="2">
        <f>'Приборы учета'!G449</f>
        <v>8.9999999999999993E-3</v>
      </c>
      <c r="D170" s="2">
        <f t="shared" si="4"/>
        <v>0</v>
      </c>
    </row>
    <row r="171" spans="1:4" x14ac:dyDescent="0.3">
      <c r="A171" s="1" t="str">
        <f>'Приборы учета'!C450</f>
        <v>23_11035726</v>
      </c>
      <c r="B171" s="2">
        <f>'Приборы учета'!F450</f>
        <v>4.8000000000000001E-2</v>
      </c>
      <c r="C171" s="2">
        <f>'Приборы учета'!G450</f>
        <v>8.5999999999999993E-2</v>
      </c>
      <c r="D171" s="2">
        <f t="shared" si="4"/>
        <v>3.7999999999999992E-2</v>
      </c>
    </row>
    <row r="176" spans="1:4" x14ac:dyDescent="0.3">
      <c r="A176" s="28" t="s">
        <v>277</v>
      </c>
      <c r="B176" s="2"/>
      <c r="C176" s="2"/>
      <c r="D176" s="29">
        <f>SUM(D2:D171)</f>
        <v>106.63900000000001</v>
      </c>
    </row>
    <row r="178" spans="1:4" x14ac:dyDescent="0.3">
      <c r="A178" s="15" t="s">
        <v>361</v>
      </c>
      <c r="B178" s="55"/>
      <c r="C178" s="55"/>
      <c r="D178" s="14">
        <f>SUM(D2:D9)</f>
        <v>4.4050000000000002</v>
      </c>
    </row>
    <row r="180" spans="1:4" x14ac:dyDescent="0.3">
      <c r="A180" s="15" t="s">
        <v>362</v>
      </c>
      <c r="B180" s="55"/>
      <c r="C180" s="55"/>
      <c r="D180" s="14">
        <f>D17+D20+D34+D46+D50+D51+D53+D56+D67+D69+D74+D75+D78+D79+D84+D87+D93+D94+D98+D99+D103+D105+D106+D121+D129+D130+D135+D145+D146+D171</f>
        <v>102.23400000000001</v>
      </c>
    </row>
    <row r="182" spans="1:4" x14ac:dyDescent="0.3">
      <c r="A182" s="16" t="s">
        <v>363</v>
      </c>
      <c r="B182" s="56"/>
      <c r="C182" s="56"/>
      <c r="D182" s="14">
        <f>D178+D180</f>
        <v>106.63900000000001</v>
      </c>
    </row>
    <row r="183" spans="1:4" x14ac:dyDescent="0.3">
      <c r="A183" s="13"/>
      <c r="D183" s="14"/>
    </row>
    <row r="184" spans="1:4" x14ac:dyDescent="0.3">
      <c r="A184" s="13" t="s">
        <v>364</v>
      </c>
      <c r="D184" s="14">
        <f>D176-D182</f>
        <v>0</v>
      </c>
    </row>
  </sheetData>
  <conditionalFormatting sqref="D2:D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8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9220A9E50E89142B4BA6B2A80A9385A" ma:contentTypeVersion="15" ma:contentTypeDescription="Создание документа." ma:contentTypeScope="" ma:versionID="34e675348c5fab23e74938c031d1ff0f">
  <xsd:schema xmlns:xsd="http://www.w3.org/2001/XMLSchema" xmlns:xs="http://www.w3.org/2001/XMLSchema" xmlns:p="http://schemas.microsoft.com/office/2006/metadata/properties" xmlns:ns1="http://schemas.microsoft.com/sharepoint/v3" xmlns:ns2="a2a4fe75-ae28-4343-8c1f-6f92e3670019" xmlns:ns3="f27a1bf4-4f7f-4c74-a24c-a552ba45381a" targetNamespace="http://schemas.microsoft.com/office/2006/metadata/properties" ma:root="true" ma:fieldsID="dfe6a66774457e2fcfbbefed634d6c12" ns1:_="" ns2:_="" ns3:_="">
    <xsd:import namespace="http://schemas.microsoft.com/sharepoint/v3"/>
    <xsd:import namespace="a2a4fe75-ae28-4343-8c1f-6f92e3670019"/>
    <xsd:import namespace="f27a1bf4-4f7f-4c74-a24c-a552ba45381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4fe75-ae28-4343-8c1f-6f92e367001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1275f4d2-dae9-4ef5-97e4-f40cf7f35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a1bf4-4f7f-4c74-a24c-a552ba45381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a856552-2fd5-478b-9f99-2d630adcd82b}" ma:internalName="TaxCatchAll" ma:showField="CatchAllData" ma:web="f27a1bf4-4f7f-4c74-a24c-a552ba4538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27a1bf4-4f7f-4c74-a24c-a552ba45381a" xsi:nil="true"/>
    <lcf76f155ced4ddcb4097134ff3c332f xmlns="a2a4fe75-ae28-4343-8c1f-6f92e36700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4192AC-81F8-40F7-9515-6C6DF0E111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a4fe75-ae28-4343-8c1f-6f92e3670019"/>
    <ds:schemaRef ds:uri="f27a1bf4-4f7f-4c74-a24c-a552ba4538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23C56B-370C-4210-9BFC-C1DE384E77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C2C589-C8E3-471F-8731-7A3A3677212C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sharepoint/v3"/>
    <ds:schemaRef ds:uri="http://schemas.microsoft.com/office/2006/documentManagement/types"/>
    <ds:schemaRef ds:uri="a2a4fe75-ae28-4343-8c1f-6f92e3670019"/>
    <ds:schemaRef ds:uri="http://schemas.microsoft.com/office/infopath/2007/PartnerControls"/>
    <ds:schemaRef ds:uri="f27a1bf4-4f7f-4c74-a24c-a552ba4538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Приборы учета</vt:lpstr>
      <vt:lpstr>Электроэнергия</vt:lpstr>
      <vt:lpstr>ХВС</vt:lpstr>
      <vt:lpstr>ГВС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cp:lastPrinted>2025-11-20T11:42:35Z</cp:lastPrinted>
  <dcterms:created xsi:type="dcterms:W3CDTF">2025-09-11T09:27:21Z</dcterms:created>
  <dcterms:modified xsi:type="dcterms:W3CDTF">2026-02-06T14:32:13Z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0x01010009220A9E50E89142B4BA6B2A80A9385A</vt:lpwstr>
  </property>
  <property fmtid="{D5CDD505-2E9C-101B-9397-08002B2CF9AE}" pid="3" name="MediaServiceImageTags">
    <vt:lpwstr/>
  </property>
</Properties>
</file>